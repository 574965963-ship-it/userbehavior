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6132\Desktop\"/>
    </mc:Choice>
  </mc:AlternateContent>
  <xr:revisionPtr revIDLastSave="0" documentId="13_ncr:1_{BC78ABA3-4A5F-4716-9481-40FFD1E3232C}" xr6:coauthVersionLast="47" xr6:coauthVersionMax="47" xr10:uidLastSave="{00000000-0000-0000-0000-000000000000}"/>
  <bookViews>
    <workbookView xWindow="2880" yWindow="0" windowWidth="19644" windowHeight="12240" activeTab="2" xr2:uid="{00000000-000D-0000-FFFF-FFFF00000000}"/>
  </bookViews>
  <sheets>
    <sheet name="漏斗分析" sheetId="4" r:id="rId1"/>
    <sheet name="品类可视化" sheetId="1" r:id="rId2"/>
    <sheet name="时段可视化" sheetId="2" r:id="rId3"/>
    <sheet name="决策路径可视化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6" i="3"/>
  <c r="C4" i="3" s="1"/>
  <c r="C5" i="3"/>
  <c r="G6" i="1"/>
  <c r="J2" i="1"/>
  <c r="J6" i="1"/>
  <c r="I6" i="1"/>
  <c r="H6" i="1"/>
  <c r="C2" i="3" l="1"/>
  <c r="C3" i="3"/>
</calcChain>
</file>

<file path=xl/sharedStrings.xml><?xml version="1.0" encoding="utf-8"?>
<sst xmlns="http://schemas.openxmlformats.org/spreadsheetml/2006/main" count="36" uniqueCount="36">
  <si>
    <t>category_id</t>
    <phoneticPr fontId="1" type="noConversion"/>
  </si>
  <si>
    <t>pv_uv</t>
    <phoneticPr fontId="1" type="noConversion"/>
  </si>
  <si>
    <t>intent_uv</t>
    <phoneticPr fontId="1" type="noConversion"/>
  </si>
  <si>
    <t>buy_uv</t>
    <phoneticPr fontId="1" type="noConversion"/>
  </si>
  <si>
    <t>conv_pct</t>
    <phoneticPr fontId="1" type="noConversion"/>
  </si>
  <si>
    <t>整体转化率</t>
    <phoneticPr fontId="1" type="noConversion"/>
  </si>
  <si>
    <t>总浏览</t>
    <phoneticPr fontId="1" type="noConversion"/>
  </si>
  <si>
    <t>总购买</t>
    <phoneticPr fontId="1" type="noConversion"/>
  </si>
  <si>
    <t>top10浏览占比</t>
    <phoneticPr fontId="1" type="noConversion"/>
  </si>
  <si>
    <t>top10总浏览</t>
    <phoneticPr fontId="1" type="noConversion"/>
  </si>
  <si>
    <t>top10总购买</t>
    <phoneticPr fontId="1" type="noConversion"/>
  </si>
  <si>
    <t>top10流量转化率</t>
    <phoneticPr fontId="1" type="noConversion"/>
  </si>
  <si>
    <t>hr</t>
    <phoneticPr fontId="1" type="noConversion"/>
  </si>
  <si>
    <t>pv_cnt</t>
    <phoneticPr fontId="1" type="noConversion"/>
  </si>
  <si>
    <t>buy_cnt</t>
    <phoneticPr fontId="1" type="noConversion"/>
  </si>
  <si>
    <t>buy / pv</t>
    <phoneticPr fontId="1" type="noConversion"/>
  </si>
  <si>
    <t>结论：流量峰值在 21~22 点，但转化率峰在 10~12 点 |；晚上是"逛"的高峰、"买"的低谷，需分时段运营 |</t>
    <phoneticPr fontId="1" type="noConversion"/>
  </si>
  <si>
    <t>类型</t>
    <phoneticPr fontId="1" type="noConversion"/>
  </si>
  <si>
    <t>人数</t>
    <phoneticPr fontId="1" type="noConversion"/>
  </si>
  <si>
    <t>占比</t>
    <phoneticPr fontId="1" type="noConversion"/>
  </si>
  <si>
    <t>直接购买</t>
  </si>
  <si>
    <t>加购后购买</t>
  </si>
  <si>
    <t>收藏后购买</t>
  </si>
  <si>
    <t>收藏+加购后购买</t>
  </si>
  <si>
    <t>结论：漏斗是有分支的，76%的用户未经过意向直接购买，可以继续优化“浏览——下单”流畅度(详情页信息完整，图片质量较高)。</t>
    <phoneticPr fontId="1" type="noConversion"/>
  </si>
  <si>
    <t>但也可能是冲动消费(可以通过退换货,评价数据判断)</t>
    <phoneticPr fontId="1" type="noConversion"/>
  </si>
  <si>
    <t>behavior_type</t>
    <phoneticPr fontId="1" type="noConversion"/>
  </si>
  <si>
    <t>cnt</t>
    <phoneticPr fontId="1" type="noConversion"/>
  </si>
  <si>
    <t>pv</t>
  </si>
  <si>
    <t>cart</t>
  </si>
  <si>
    <t>fav</t>
  </si>
  <si>
    <t>buy</t>
  </si>
  <si>
    <t>意向：</t>
    <phoneticPr fontId="1" type="noConversion"/>
  </si>
  <si>
    <t>但数据无误，浏览71015192，意向8256561，购买1926027</t>
    <phoneticPr fontId="1" type="noConversion"/>
  </si>
  <si>
    <t>结论：决策分析中知漏斗是有分支的，用户可以 PV——buy ，所以不能粗暴的将 PV——cart/fav——buy 进行漏斗分析</t>
    <phoneticPr fontId="1" type="noConversion"/>
  </si>
  <si>
    <t>结论：右下角（流量黑洞）——有着不错的流量但转化率却很低。头部 TOP10 占 27.7% 流量、转化仅 0.93%。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</si>
</sst>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%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3"/>
      <name val="等线"/>
      <family val="2"/>
      <charset val="134"/>
      <scheme val="minor"/>
    </font>
    <font>
      <b/>
      <sz val="11"/>
      <color theme="3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176" fontId="0" fillId="0" borderId="0" xfId="0" applyNumberFormat="1"/>
    <xf numFmtId="10" fontId="0" fillId="0" borderId="0" xfId="0" applyNumberFormat="1"/>
    <xf numFmtId="0" fontId="0" fillId="2" borderId="1" xfId="0" applyFill="1" applyBorder="1"/>
    <xf numFmtId="0" fontId="0" fillId="2" borderId="0" xfId="0" applyFill="1"/>
    <xf numFmtId="0" fontId="2" fillId="4" borderId="0" xfId="1" applyFill="1" applyAlignment="1"/>
    <xf numFmtId="0" fontId="3" fillId="4" borderId="0" xfId="1" applyFont="1" applyFill="1" applyAlignment="1">
      <alignment vertical="center"/>
    </xf>
    <xf numFmtId="0" fontId="0" fillId="0" borderId="1" xfId="0" applyBorder="1"/>
    <xf numFmtId="0" fontId="4" fillId="0" borderId="1" xfId="3" applyBorder="1" applyAlignment="1"/>
    <xf numFmtId="10" fontId="0" fillId="0" borderId="1" xfId="0" applyNumberFormat="1" applyBorder="1"/>
    <xf numFmtId="0" fontId="5" fillId="0" borderId="2" xfId="2" applyFont="1" applyAlignme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4">
    <cellStyle name="标题 3" xfId="2" builtinId="18"/>
    <cellStyle name="标题 4" xfId="3" builtinId="19"/>
    <cellStyle name="常规" xfId="0" builtinId="0"/>
    <cellStyle name="着色 6" xfId="1" builtinId="49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漏斗分析!$B$1</c:f>
              <c:strCache>
                <c:ptCount val="1"/>
                <c:pt idx="0">
                  <c:v>cnt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漏斗分析!$A$2:$A$5</c:f>
              <c:strCache>
                <c:ptCount val="4"/>
                <c:pt idx="0">
                  <c:v>pv</c:v>
                </c:pt>
                <c:pt idx="1">
                  <c:v>cart</c:v>
                </c:pt>
                <c:pt idx="2">
                  <c:v>fav</c:v>
                </c:pt>
                <c:pt idx="3">
                  <c:v>buy</c:v>
                </c:pt>
              </c:strCache>
            </c:strRef>
          </c:cat>
          <c:val>
            <c:numRef>
              <c:f>漏斗分析!$B$2:$B$5</c:f>
              <c:numCache>
                <c:formatCode>General</c:formatCode>
                <c:ptCount val="4"/>
                <c:pt idx="0">
                  <c:v>71015192</c:v>
                </c:pt>
                <c:pt idx="1">
                  <c:v>5386584</c:v>
                </c:pt>
                <c:pt idx="2">
                  <c:v>2869977</c:v>
                </c:pt>
                <c:pt idx="3">
                  <c:v>1926027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3-48A1-83F6-2759DC4038E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904423584"/>
        <c:axId val="906779616"/>
      </c:barChart>
      <c:catAx>
        <c:axId val="9044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6779616"/>
        <c:crosses val="autoZero"/>
        <c:auto val="1"/>
        <c:lblAlgn val="ctr"/>
        <c:lblOffset val="100"/>
        <c:noMultiLvlLbl val="0"/>
      </c:catAx>
      <c:valAx>
        <c:axId val="906779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442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品类可视化!$E$1</c:f>
              <c:strCache>
                <c:ptCount val="1"/>
                <c:pt idx="0">
                  <c:v>conv_pct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品类可视化!$B$2:$B$201</c:f>
              <c:numCache>
                <c:formatCode>General</c:formatCode>
                <c:ptCount val="200"/>
                <c:pt idx="0">
                  <c:v>3402690</c:v>
                </c:pt>
                <c:pt idx="1">
                  <c:v>2450934</c:v>
                </c:pt>
                <c:pt idx="2">
                  <c:v>2416038</c:v>
                </c:pt>
                <c:pt idx="3">
                  <c:v>2250648</c:v>
                </c:pt>
                <c:pt idx="4">
                  <c:v>2229700</c:v>
                </c:pt>
                <c:pt idx="5">
                  <c:v>1663540</c:v>
                </c:pt>
                <c:pt idx="6">
                  <c:v>1469003</c:v>
                </c:pt>
                <c:pt idx="7">
                  <c:v>1429897</c:v>
                </c:pt>
                <c:pt idx="8">
                  <c:v>1213274</c:v>
                </c:pt>
                <c:pt idx="9">
                  <c:v>1145205</c:v>
                </c:pt>
                <c:pt idx="10">
                  <c:v>892136</c:v>
                </c:pt>
                <c:pt idx="11">
                  <c:v>812803</c:v>
                </c:pt>
                <c:pt idx="12">
                  <c:v>791483</c:v>
                </c:pt>
                <c:pt idx="13">
                  <c:v>779049</c:v>
                </c:pt>
                <c:pt idx="14">
                  <c:v>769677</c:v>
                </c:pt>
                <c:pt idx="15">
                  <c:v>725045</c:v>
                </c:pt>
                <c:pt idx="16">
                  <c:v>719720</c:v>
                </c:pt>
                <c:pt idx="17">
                  <c:v>650534</c:v>
                </c:pt>
                <c:pt idx="18">
                  <c:v>581200</c:v>
                </c:pt>
                <c:pt idx="19">
                  <c:v>581198</c:v>
                </c:pt>
                <c:pt idx="20">
                  <c:v>552718</c:v>
                </c:pt>
                <c:pt idx="21">
                  <c:v>546267</c:v>
                </c:pt>
                <c:pt idx="22">
                  <c:v>532687</c:v>
                </c:pt>
                <c:pt idx="23">
                  <c:v>525817</c:v>
                </c:pt>
                <c:pt idx="24">
                  <c:v>488776</c:v>
                </c:pt>
                <c:pt idx="25">
                  <c:v>439801</c:v>
                </c:pt>
                <c:pt idx="26">
                  <c:v>407328</c:v>
                </c:pt>
                <c:pt idx="27">
                  <c:v>401103</c:v>
                </c:pt>
                <c:pt idx="28">
                  <c:v>396544</c:v>
                </c:pt>
                <c:pt idx="29">
                  <c:v>391476</c:v>
                </c:pt>
                <c:pt idx="30">
                  <c:v>380460</c:v>
                </c:pt>
                <c:pt idx="31">
                  <c:v>361688</c:v>
                </c:pt>
                <c:pt idx="32">
                  <c:v>354894</c:v>
                </c:pt>
                <c:pt idx="33">
                  <c:v>340323</c:v>
                </c:pt>
                <c:pt idx="34">
                  <c:v>316740</c:v>
                </c:pt>
                <c:pt idx="35">
                  <c:v>303959</c:v>
                </c:pt>
                <c:pt idx="36">
                  <c:v>282263</c:v>
                </c:pt>
                <c:pt idx="37">
                  <c:v>282025</c:v>
                </c:pt>
                <c:pt idx="38">
                  <c:v>264852</c:v>
                </c:pt>
                <c:pt idx="39">
                  <c:v>256760</c:v>
                </c:pt>
                <c:pt idx="40">
                  <c:v>256183</c:v>
                </c:pt>
                <c:pt idx="41">
                  <c:v>255878</c:v>
                </c:pt>
                <c:pt idx="42">
                  <c:v>254599</c:v>
                </c:pt>
                <c:pt idx="43">
                  <c:v>250214</c:v>
                </c:pt>
                <c:pt idx="44">
                  <c:v>233280</c:v>
                </c:pt>
                <c:pt idx="45">
                  <c:v>231378</c:v>
                </c:pt>
                <c:pt idx="46">
                  <c:v>228190</c:v>
                </c:pt>
                <c:pt idx="47">
                  <c:v>206645</c:v>
                </c:pt>
                <c:pt idx="48">
                  <c:v>205068</c:v>
                </c:pt>
                <c:pt idx="49">
                  <c:v>203682</c:v>
                </c:pt>
                <c:pt idx="50">
                  <c:v>203337</c:v>
                </c:pt>
                <c:pt idx="51">
                  <c:v>199307</c:v>
                </c:pt>
                <c:pt idx="52">
                  <c:v>198756</c:v>
                </c:pt>
                <c:pt idx="53">
                  <c:v>192548</c:v>
                </c:pt>
                <c:pt idx="54">
                  <c:v>190827</c:v>
                </c:pt>
                <c:pt idx="55">
                  <c:v>188443</c:v>
                </c:pt>
                <c:pt idx="56">
                  <c:v>188437</c:v>
                </c:pt>
                <c:pt idx="57">
                  <c:v>187200</c:v>
                </c:pt>
                <c:pt idx="58">
                  <c:v>184481</c:v>
                </c:pt>
                <c:pt idx="59">
                  <c:v>183855</c:v>
                </c:pt>
                <c:pt idx="60">
                  <c:v>183368</c:v>
                </c:pt>
                <c:pt idx="61">
                  <c:v>178734</c:v>
                </c:pt>
                <c:pt idx="62">
                  <c:v>172852</c:v>
                </c:pt>
                <c:pt idx="63">
                  <c:v>170274</c:v>
                </c:pt>
                <c:pt idx="64">
                  <c:v>165513</c:v>
                </c:pt>
                <c:pt idx="65">
                  <c:v>162213</c:v>
                </c:pt>
                <c:pt idx="66">
                  <c:v>149381</c:v>
                </c:pt>
                <c:pt idx="67">
                  <c:v>148650</c:v>
                </c:pt>
                <c:pt idx="68">
                  <c:v>147316</c:v>
                </c:pt>
                <c:pt idx="69">
                  <c:v>144474</c:v>
                </c:pt>
                <c:pt idx="70">
                  <c:v>143455</c:v>
                </c:pt>
                <c:pt idx="71">
                  <c:v>140992</c:v>
                </c:pt>
                <c:pt idx="72">
                  <c:v>139844</c:v>
                </c:pt>
                <c:pt idx="73">
                  <c:v>138552</c:v>
                </c:pt>
                <c:pt idx="74">
                  <c:v>137653</c:v>
                </c:pt>
                <c:pt idx="75">
                  <c:v>137230</c:v>
                </c:pt>
                <c:pt idx="76">
                  <c:v>136618</c:v>
                </c:pt>
                <c:pt idx="77">
                  <c:v>135537</c:v>
                </c:pt>
                <c:pt idx="78">
                  <c:v>133711</c:v>
                </c:pt>
                <c:pt idx="79">
                  <c:v>132150</c:v>
                </c:pt>
                <c:pt idx="80">
                  <c:v>132059</c:v>
                </c:pt>
                <c:pt idx="81">
                  <c:v>131753</c:v>
                </c:pt>
                <c:pt idx="82">
                  <c:v>130887</c:v>
                </c:pt>
                <c:pt idx="83">
                  <c:v>129998</c:v>
                </c:pt>
                <c:pt idx="84">
                  <c:v>128647</c:v>
                </c:pt>
                <c:pt idx="85">
                  <c:v>126725</c:v>
                </c:pt>
                <c:pt idx="86">
                  <c:v>119649</c:v>
                </c:pt>
                <c:pt idx="87">
                  <c:v>114789</c:v>
                </c:pt>
                <c:pt idx="88">
                  <c:v>114397</c:v>
                </c:pt>
                <c:pt idx="89">
                  <c:v>112619</c:v>
                </c:pt>
                <c:pt idx="90">
                  <c:v>112095</c:v>
                </c:pt>
                <c:pt idx="91">
                  <c:v>111974</c:v>
                </c:pt>
                <c:pt idx="92">
                  <c:v>111386</c:v>
                </c:pt>
                <c:pt idx="93">
                  <c:v>110232</c:v>
                </c:pt>
                <c:pt idx="94">
                  <c:v>109536</c:v>
                </c:pt>
                <c:pt idx="95">
                  <c:v>108979</c:v>
                </c:pt>
                <c:pt idx="96">
                  <c:v>106106</c:v>
                </c:pt>
                <c:pt idx="97">
                  <c:v>105925</c:v>
                </c:pt>
                <c:pt idx="98">
                  <c:v>103292</c:v>
                </c:pt>
                <c:pt idx="99">
                  <c:v>102818</c:v>
                </c:pt>
                <c:pt idx="100">
                  <c:v>102432</c:v>
                </c:pt>
                <c:pt idx="101">
                  <c:v>101554</c:v>
                </c:pt>
                <c:pt idx="102">
                  <c:v>98634</c:v>
                </c:pt>
                <c:pt idx="103">
                  <c:v>98053</c:v>
                </c:pt>
                <c:pt idx="104">
                  <c:v>97685</c:v>
                </c:pt>
                <c:pt idx="105">
                  <c:v>97079</c:v>
                </c:pt>
                <c:pt idx="106">
                  <c:v>96914</c:v>
                </c:pt>
                <c:pt idx="107">
                  <c:v>94817</c:v>
                </c:pt>
                <c:pt idx="108">
                  <c:v>94235</c:v>
                </c:pt>
                <c:pt idx="109">
                  <c:v>94163</c:v>
                </c:pt>
                <c:pt idx="110">
                  <c:v>93245</c:v>
                </c:pt>
                <c:pt idx="111">
                  <c:v>92793</c:v>
                </c:pt>
                <c:pt idx="112">
                  <c:v>89190</c:v>
                </c:pt>
                <c:pt idx="113">
                  <c:v>89015</c:v>
                </c:pt>
                <c:pt idx="114">
                  <c:v>88970</c:v>
                </c:pt>
                <c:pt idx="115">
                  <c:v>88718</c:v>
                </c:pt>
                <c:pt idx="116">
                  <c:v>88706</c:v>
                </c:pt>
                <c:pt idx="117">
                  <c:v>84917</c:v>
                </c:pt>
                <c:pt idx="118">
                  <c:v>84406</c:v>
                </c:pt>
                <c:pt idx="119">
                  <c:v>83462</c:v>
                </c:pt>
                <c:pt idx="120">
                  <c:v>82981</c:v>
                </c:pt>
                <c:pt idx="121">
                  <c:v>81740</c:v>
                </c:pt>
                <c:pt idx="122">
                  <c:v>81160</c:v>
                </c:pt>
                <c:pt idx="123">
                  <c:v>80438</c:v>
                </c:pt>
                <c:pt idx="124">
                  <c:v>79834</c:v>
                </c:pt>
                <c:pt idx="125">
                  <c:v>79195</c:v>
                </c:pt>
                <c:pt idx="126">
                  <c:v>78070</c:v>
                </c:pt>
                <c:pt idx="127">
                  <c:v>77842</c:v>
                </c:pt>
                <c:pt idx="128">
                  <c:v>75942</c:v>
                </c:pt>
                <c:pt idx="129">
                  <c:v>75380</c:v>
                </c:pt>
                <c:pt idx="130">
                  <c:v>75060</c:v>
                </c:pt>
                <c:pt idx="131">
                  <c:v>74443</c:v>
                </c:pt>
                <c:pt idx="132">
                  <c:v>74111</c:v>
                </c:pt>
                <c:pt idx="133">
                  <c:v>73115</c:v>
                </c:pt>
                <c:pt idx="134">
                  <c:v>72740</c:v>
                </c:pt>
                <c:pt idx="135">
                  <c:v>72649</c:v>
                </c:pt>
                <c:pt idx="136">
                  <c:v>71186</c:v>
                </c:pt>
                <c:pt idx="137">
                  <c:v>70535</c:v>
                </c:pt>
                <c:pt idx="138">
                  <c:v>69920</c:v>
                </c:pt>
                <c:pt idx="139">
                  <c:v>69408</c:v>
                </c:pt>
                <c:pt idx="140">
                  <c:v>69309</c:v>
                </c:pt>
                <c:pt idx="141">
                  <c:v>68348</c:v>
                </c:pt>
                <c:pt idx="142">
                  <c:v>68338</c:v>
                </c:pt>
                <c:pt idx="143">
                  <c:v>68100</c:v>
                </c:pt>
                <c:pt idx="144">
                  <c:v>67723</c:v>
                </c:pt>
                <c:pt idx="145">
                  <c:v>67114</c:v>
                </c:pt>
                <c:pt idx="146">
                  <c:v>66130</c:v>
                </c:pt>
                <c:pt idx="147">
                  <c:v>65436</c:v>
                </c:pt>
                <c:pt idx="148">
                  <c:v>65251</c:v>
                </c:pt>
                <c:pt idx="149">
                  <c:v>63824</c:v>
                </c:pt>
                <c:pt idx="150">
                  <c:v>63537</c:v>
                </c:pt>
                <c:pt idx="151">
                  <c:v>63425</c:v>
                </c:pt>
                <c:pt idx="152">
                  <c:v>62883</c:v>
                </c:pt>
                <c:pt idx="153">
                  <c:v>61348</c:v>
                </c:pt>
                <c:pt idx="154">
                  <c:v>61223</c:v>
                </c:pt>
                <c:pt idx="155">
                  <c:v>61148</c:v>
                </c:pt>
                <c:pt idx="156">
                  <c:v>60832</c:v>
                </c:pt>
                <c:pt idx="157">
                  <c:v>60289</c:v>
                </c:pt>
                <c:pt idx="158">
                  <c:v>59958</c:v>
                </c:pt>
                <c:pt idx="159">
                  <c:v>59750</c:v>
                </c:pt>
                <c:pt idx="160">
                  <c:v>59717</c:v>
                </c:pt>
                <c:pt idx="161">
                  <c:v>58771</c:v>
                </c:pt>
                <c:pt idx="162">
                  <c:v>58590</c:v>
                </c:pt>
                <c:pt idx="163">
                  <c:v>58432</c:v>
                </c:pt>
                <c:pt idx="164">
                  <c:v>58429</c:v>
                </c:pt>
                <c:pt idx="165">
                  <c:v>57303</c:v>
                </c:pt>
                <c:pt idx="166">
                  <c:v>55833</c:v>
                </c:pt>
                <c:pt idx="167">
                  <c:v>55791</c:v>
                </c:pt>
                <c:pt idx="168">
                  <c:v>55729</c:v>
                </c:pt>
                <c:pt idx="169">
                  <c:v>55360</c:v>
                </c:pt>
                <c:pt idx="170">
                  <c:v>55021</c:v>
                </c:pt>
                <c:pt idx="171">
                  <c:v>54559</c:v>
                </c:pt>
                <c:pt idx="172">
                  <c:v>54177</c:v>
                </c:pt>
                <c:pt idx="173">
                  <c:v>53944</c:v>
                </c:pt>
                <c:pt idx="174">
                  <c:v>53840</c:v>
                </c:pt>
                <c:pt idx="175">
                  <c:v>53623</c:v>
                </c:pt>
                <c:pt idx="176">
                  <c:v>53453</c:v>
                </c:pt>
                <c:pt idx="177">
                  <c:v>52902</c:v>
                </c:pt>
                <c:pt idx="178">
                  <c:v>52859</c:v>
                </c:pt>
                <c:pt idx="179">
                  <c:v>52746</c:v>
                </c:pt>
                <c:pt idx="180">
                  <c:v>51673</c:v>
                </c:pt>
                <c:pt idx="181">
                  <c:v>51187</c:v>
                </c:pt>
                <c:pt idx="182">
                  <c:v>50176</c:v>
                </c:pt>
                <c:pt idx="183">
                  <c:v>49979</c:v>
                </c:pt>
                <c:pt idx="184">
                  <c:v>49837</c:v>
                </c:pt>
                <c:pt idx="185">
                  <c:v>49578</c:v>
                </c:pt>
                <c:pt idx="186">
                  <c:v>49060</c:v>
                </c:pt>
                <c:pt idx="187">
                  <c:v>48686</c:v>
                </c:pt>
                <c:pt idx="188">
                  <c:v>48423</c:v>
                </c:pt>
                <c:pt idx="189">
                  <c:v>48206</c:v>
                </c:pt>
                <c:pt idx="190">
                  <c:v>47458</c:v>
                </c:pt>
                <c:pt idx="191">
                  <c:v>47443</c:v>
                </c:pt>
                <c:pt idx="192">
                  <c:v>47064</c:v>
                </c:pt>
                <c:pt idx="193">
                  <c:v>47007</c:v>
                </c:pt>
                <c:pt idx="194">
                  <c:v>46900</c:v>
                </c:pt>
                <c:pt idx="195">
                  <c:v>46887</c:v>
                </c:pt>
                <c:pt idx="196">
                  <c:v>46571</c:v>
                </c:pt>
                <c:pt idx="197">
                  <c:v>45249</c:v>
                </c:pt>
                <c:pt idx="198">
                  <c:v>45202</c:v>
                </c:pt>
                <c:pt idx="199">
                  <c:v>45189</c:v>
                </c:pt>
              </c:numCache>
            </c:numRef>
          </c:xVal>
          <c:yVal>
            <c:numRef>
              <c:f>品类可视化!$E$2:$E$201</c:f>
              <c:numCache>
                <c:formatCode>General</c:formatCode>
                <c:ptCount val="200"/>
                <c:pt idx="0">
                  <c:v>0.78</c:v>
                </c:pt>
                <c:pt idx="1">
                  <c:v>1.23</c:v>
                </c:pt>
                <c:pt idx="2">
                  <c:v>0.48</c:v>
                </c:pt>
                <c:pt idx="3">
                  <c:v>0.52</c:v>
                </c:pt>
                <c:pt idx="4">
                  <c:v>1.06</c:v>
                </c:pt>
                <c:pt idx="5">
                  <c:v>0.56000000000000005</c:v>
                </c:pt>
                <c:pt idx="6">
                  <c:v>1.71</c:v>
                </c:pt>
                <c:pt idx="7">
                  <c:v>1.1399999999999999</c:v>
                </c:pt>
                <c:pt idx="8">
                  <c:v>1.05</c:v>
                </c:pt>
                <c:pt idx="9">
                  <c:v>1.37</c:v>
                </c:pt>
                <c:pt idx="10">
                  <c:v>3.57</c:v>
                </c:pt>
                <c:pt idx="11">
                  <c:v>0.99</c:v>
                </c:pt>
                <c:pt idx="12">
                  <c:v>1.33</c:v>
                </c:pt>
                <c:pt idx="13">
                  <c:v>3.97</c:v>
                </c:pt>
                <c:pt idx="14">
                  <c:v>0.55000000000000004</c:v>
                </c:pt>
                <c:pt idx="15">
                  <c:v>1.88</c:v>
                </c:pt>
                <c:pt idx="16">
                  <c:v>0.32</c:v>
                </c:pt>
                <c:pt idx="17">
                  <c:v>1.44</c:v>
                </c:pt>
                <c:pt idx="18">
                  <c:v>2.98</c:v>
                </c:pt>
                <c:pt idx="19">
                  <c:v>2.0699999999999998</c:v>
                </c:pt>
                <c:pt idx="20">
                  <c:v>6.08</c:v>
                </c:pt>
                <c:pt idx="21">
                  <c:v>1.92</c:v>
                </c:pt>
                <c:pt idx="22">
                  <c:v>2.85</c:v>
                </c:pt>
                <c:pt idx="23">
                  <c:v>0.49</c:v>
                </c:pt>
                <c:pt idx="24">
                  <c:v>2.67</c:v>
                </c:pt>
                <c:pt idx="25">
                  <c:v>1.41</c:v>
                </c:pt>
                <c:pt idx="26">
                  <c:v>0.98</c:v>
                </c:pt>
                <c:pt idx="27">
                  <c:v>1.21</c:v>
                </c:pt>
                <c:pt idx="28">
                  <c:v>3.27</c:v>
                </c:pt>
                <c:pt idx="29">
                  <c:v>0.87</c:v>
                </c:pt>
                <c:pt idx="30">
                  <c:v>2.74</c:v>
                </c:pt>
                <c:pt idx="31">
                  <c:v>2.98</c:v>
                </c:pt>
                <c:pt idx="32">
                  <c:v>1.8</c:v>
                </c:pt>
                <c:pt idx="33">
                  <c:v>3.11</c:v>
                </c:pt>
                <c:pt idx="34">
                  <c:v>1.17</c:v>
                </c:pt>
                <c:pt idx="35">
                  <c:v>1.95</c:v>
                </c:pt>
                <c:pt idx="36">
                  <c:v>2.12</c:v>
                </c:pt>
                <c:pt idx="37">
                  <c:v>1.3</c:v>
                </c:pt>
                <c:pt idx="38">
                  <c:v>1.97</c:v>
                </c:pt>
                <c:pt idx="39">
                  <c:v>5.71</c:v>
                </c:pt>
                <c:pt idx="40">
                  <c:v>5.96</c:v>
                </c:pt>
                <c:pt idx="41">
                  <c:v>1.87</c:v>
                </c:pt>
                <c:pt idx="42">
                  <c:v>1.72</c:v>
                </c:pt>
                <c:pt idx="43">
                  <c:v>2.06</c:v>
                </c:pt>
                <c:pt idx="44">
                  <c:v>3.06</c:v>
                </c:pt>
                <c:pt idx="45">
                  <c:v>1.1000000000000001</c:v>
                </c:pt>
                <c:pt idx="46">
                  <c:v>1.55</c:v>
                </c:pt>
                <c:pt idx="47">
                  <c:v>4.9800000000000004</c:v>
                </c:pt>
                <c:pt idx="48">
                  <c:v>4.1900000000000004</c:v>
                </c:pt>
                <c:pt idx="49">
                  <c:v>1.89</c:v>
                </c:pt>
                <c:pt idx="50">
                  <c:v>2.41</c:v>
                </c:pt>
                <c:pt idx="51">
                  <c:v>2.2200000000000002</c:v>
                </c:pt>
                <c:pt idx="52">
                  <c:v>3.89</c:v>
                </c:pt>
                <c:pt idx="53">
                  <c:v>3.15</c:v>
                </c:pt>
                <c:pt idx="54">
                  <c:v>0.83</c:v>
                </c:pt>
                <c:pt idx="55">
                  <c:v>1.32</c:v>
                </c:pt>
                <c:pt idx="56">
                  <c:v>2.35</c:v>
                </c:pt>
                <c:pt idx="57">
                  <c:v>0.51</c:v>
                </c:pt>
                <c:pt idx="58">
                  <c:v>2.16</c:v>
                </c:pt>
                <c:pt idx="59">
                  <c:v>1.08</c:v>
                </c:pt>
                <c:pt idx="60">
                  <c:v>0.38</c:v>
                </c:pt>
                <c:pt idx="61">
                  <c:v>1.58</c:v>
                </c:pt>
                <c:pt idx="62">
                  <c:v>3.98</c:v>
                </c:pt>
                <c:pt idx="63">
                  <c:v>4.8600000000000003</c:v>
                </c:pt>
                <c:pt idx="64">
                  <c:v>0.53</c:v>
                </c:pt>
                <c:pt idx="65">
                  <c:v>1.87</c:v>
                </c:pt>
                <c:pt idx="66">
                  <c:v>2.39</c:v>
                </c:pt>
                <c:pt idx="67">
                  <c:v>4.88</c:v>
                </c:pt>
                <c:pt idx="68">
                  <c:v>0.98</c:v>
                </c:pt>
                <c:pt idx="69">
                  <c:v>2.41</c:v>
                </c:pt>
                <c:pt idx="70">
                  <c:v>12.18</c:v>
                </c:pt>
                <c:pt idx="71">
                  <c:v>5.15</c:v>
                </c:pt>
                <c:pt idx="72">
                  <c:v>1.1100000000000001</c:v>
                </c:pt>
                <c:pt idx="73">
                  <c:v>2.5099999999999998</c:v>
                </c:pt>
                <c:pt idx="74">
                  <c:v>1.96</c:v>
                </c:pt>
                <c:pt idx="75">
                  <c:v>6.3</c:v>
                </c:pt>
                <c:pt idx="76">
                  <c:v>2.65</c:v>
                </c:pt>
                <c:pt idx="77">
                  <c:v>4.0599999999999996</c:v>
                </c:pt>
                <c:pt idx="78">
                  <c:v>2.4500000000000002</c:v>
                </c:pt>
                <c:pt idx="79">
                  <c:v>3.56</c:v>
                </c:pt>
                <c:pt idx="80">
                  <c:v>6.08</c:v>
                </c:pt>
                <c:pt idx="81">
                  <c:v>1.9</c:v>
                </c:pt>
                <c:pt idx="82">
                  <c:v>4.79</c:v>
                </c:pt>
                <c:pt idx="83">
                  <c:v>2.87</c:v>
                </c:pt>
                <c:pt idx="84">
                  <c:v>4.96</c:v>
                </c:pt>
                <c:pt idx="85">
                  <c:v>4.74</c:v>
                </c:pt>
                <c:pt idx="86">
                  <c:v>0.85</c:v>
                </c:pt>
                <c:pt idx="87">
                  <c:v>1.95</c:v>
                </c:pt>
                <c:pt idx="88">
                  <c:v>5.85</c:v>
                </c:pt>
                <c:pt idx="89">
                  <c:v>6.21</c:v>
                </c:pt>
                <c:pt idx="90">
                  <c:v>3.68</c:v>
                </c:pt>
                <c:pt idx="91">
                  <c:v>1.28</c:v>
                </c:pt>
                <c:pt idx="92">
                  <c:v>5.87</c:v>
                </c:pt>
                <c:pt idx="93">
                  <c:v>6.49</c:v>
                </c:pt>
                <c:pt idx="94">
                  <c:v>1.53</c:v>
                </c:pt>
                <c:pt idx="95">
                  <c:v>0.87</c:v>
                </c:pt>
                <c:pt idx="96">
                  <c:v>2.81</c:v>
                </c:pt>
                <c:pt idx="97">
                  <c:v>2.34</c:v>
                </c:pt>
                <c:pt idx="98">
                  <c:v>2.29</c:v>
                </c:pt>
                <c:pt idx="99">
                  <c:v>0.54</c:v>
                </c:pt>
                <c:pt idx="100">
                  <c:v>5.27</c:v>
                </c:pt>
                <c:pt idx="101">
                  <c:v>2.97</c:v>
                </c:pt>
                <c:pt idx="102">
                  <c:v>1.82</c:v>
                </c:pt>
                <c:pt idx="103">
                  <c:v>3.73</c:v>
                </c:pt>
                <c:pt idx="104">
                  <c:v>3.27</c:v>
                </c:pt>
                <c:pt idx="105">
                  <c:v>1.87</c:v>
                </c:pt>
                <c:pt idx="106">
                  <c:v>4.25</c:v>
                </c:pt>
                <c:pt idx="107">
                  <c:v>9.26</c:v>
                </c:pt>
                <c:pt idx="108">
                  <c:v>2.96</c:v>
                </c:pt>
                <c:pt idx="109">
                  <c:v>0.54</c:v>
                </c:pt>
                <c:pt idx="110">
                  <c:v>1.42</c:v>
                </c:pt>
                <c:pt idx="111">
                  <c:v>4.05</c:v>
                </c:pt>
                <c:pt idx="112">
                  <c:v>2.68</c:v>
                </c:pt>
                <c:pt idx="113">
                  <c:v>1.2</c:v>
                </c:pt>
                <c:pt idx="114">
                  <c:v>0.74</c:v>
                </c:pt>
                <c:pt idx="115">
                  <c:v>7.48</c:v>
                </c:pt>
                <c:pt idx="116">
                  <c:v>2.67</c:v>
                </c:pt>
                <c:pt idx="117">
                  <c:v>4.03</c:v>
                </c:pt>
                <c:pt idx="118">
                  <c:v>3.9</c:v>
                </c:pt>
                <c:pt idx="119">
                  <c:v>1.25</c:v>
                </c:pt>
                <c:pt idx="120">
                  <c:v>3.59</c:v>
                </c:pt>
                <c:pt idx="121">
                  <c:v>0.71</c:v>
                </c:pt>
                <c:pt idx="122">
                  <c:v>2.66</c:v>
                </c:pt>
                <c:pt idx="123">
                  <c:v>1.48</c:v>
                </c:pt>
                <c:pt idx="124">
                  <c:v>2.16</c:v>
                </c:pt>
                <c:pt idx="125">
                  <c:v>3.86</c:v>
                </c:pt>
                <c:pt idx="126">
                  <c:v>1.86</c:v>
                </c:pt>
                <c:pt idx="127">
                  <c:v>0.23</c:v>
                </c:pt>
                <c:pt idx="128">
                  <c:v>7.05</c:v>
                </c:pt>
                <c:pt idx="129">
                  <c:v>1.61</c:v>
                </c:pt>
                <c:pt idx="130">
                  <c:v>3.81</c:v>
                </c:pt>
                <c:pt idx="131">
                  <c:v>1.5</c:v>
                </c:pt>
                <c:pt idx="132">
                  <c:v>3.02</c:v>
                </c:pt>
                <c:pt idx="133">
                  <c:v>0.68</c:v>
                </c:pt>
                <c:pt idx="134">
                  <c:v>3.11</c:v>
                </c:pt>
                <c:pt idx="135">
                  <c:v>2.31</c:v>
                </c:pt>
                <c:pt idx="136">
                  <c:v>3.48</c:v>
                </c:pt>
                <c:pt idx="137">
                  <c:v>1.69</c:v>
                </c:pt>
                <c:pt idx="138">
                  <c:v>2.2000000000000002</c:v>
                </c:pt>
                <c:pt idx="139">
                  <c:v>2.27</c:v>
                </c:pt>
                <c:pt idx="140">
                  <c:v>9</c:v>
                </c:pt>
                <c:pt idx="141">
                  <c:v>8.4700000000000006</c:v>
                </c:pt>
                <c:pt idx="142">
                  <c:v>0.57999999999999996</c:v>
                </c:pt>
                <c:pt idx="143">
                  <c:v>2.69</c:v>
                </c:pt>
                <c:pt idx="144">
                  <c:v>3.61</c:v>
                </c:pt>
                <c:pt idx="145">
                  <c:v>4.62</c:v>
                </c:pt>
                <c:pt idx="146">
                  <c:v>3.62</c:v>
                </c:pt>
                <c:pt idx="147">
                  <c:v>4.21</c:v>
                </c:pt>
                <c:pt idx="148">
                  <c:v>3.5</c:v>
                </c:pt>
                <c:pt idx="149">
                  <c:v>0.4</c:v>
                </c:pt>
                <c:pt idx="150">
                  <c:v>3.69</c:v>
                </c:pt>
                <c:pt idx="151">
                  <c:v>3.45</c:v>
                </c:pt>
                <c:pt idx="152">
                  <c:v>6.32</c:v>
                </c:pt>
                <c:pt idx="153">
                  <c:v>1.75</c:v>
                </c:pt>
                <c:pt idx="154">
                  <c:v>3.75</c:v>
                </c:pt>
                <c:pt idx="155">
                  <c:v>1.93</c:v>
                </c:pt>
                <c:pt idx="156">
                  <c:v>1.32</c:v>
                </c:pt>
                <c:pt idx="157">
                  <c:v>2.88</c:v>
                </c:pt>
                <c:pt idx="158">
                  <c:v>0.71</c:v>
                </c:pt>
                <c:pt idx="159">
                  <c:v>4.4400000000000004</c:v>
                </c:pt>
                <c:pt idx="160">
                  <c:v>3.66</c:v>
                </c:pt>
                <c:pt idx="161">
                  <c:v>3.1</c:v>
                </c:pt>
                <c:pt idx="162">
                  <c:v>1.59</c:v>
                </c:pt>
                <c:pt idx="163">
                  <c:v>3.23</c:v>
                </c:pt>
                <c:pt idx="164">
                  <c:v>6.05</c:v>
                </c:pt>
                <c:pt idx="165">
                  <c:v>2.69</c:v>
                </c:pt>
                <c:pt idx="166">
                  <c:v>4.57</c:v>
                </c:pt>
                <c:pt idx="167">
                  <c:v>3.15</c:v>
                </c:pt>
                <c:pt idx="168">
                  <c:v>12.26</c:v>
                </c:pt>
                <c:pt idx="169">
                  <c:v>2.87</c:v>
                </c:pt>
                <c:pt idx="170">
                  <c:v>0.88</c:v>
                </c:pt>
                <c:pt idx="171">
                  <c:v>1.03</c:v>
                </c:pt>
                <c:pt idx="172">
                  <c:v>4.29</c:v>
                </c:pt>
                <c:pt idx="173">
                  <c:v>2.89</c:v>
                </c:pt>
                <c:pt idx="174">
                  <c:v>4.47</c:v>
                </c:pt>
                <c:pt idx="175">
                  <c:v>1.77</c:v>
                </c:pt>
                <c:pt idx="176">
                  <c:v>0.64</c:v>
                </c:pt>
                <c:pt idx="177">
                  <c:v>3.95</c:v>
                </c:pt>
                <c:pt idx="178">
                  <c:v>1.91</c:v>
                </c:pt>
                <c:pt idx="179">
                  <c:v>1.73</c:v>
                </c:pt>
                <c:pt idx="180">
                  <c:v>10.77</c:v>
                </c:pt>
                <c:pt idx="181">
                  <c:v>3.6</c:v>
                </c:pt>
                <c:pt idx="182">
                  <c:v>5.67</c:v>
                </c:pt>
                <c:pt idx="183">
                  <c:v>7.64</c:v>
                </c:pt>
                <c:pt idx="184">
                  <c:v>2.62</c:v>
                </c:pt>
                <c:pt idx="185">
                  <c:v>7</c:v>
                </c:pt>
                <c:pt idx="186">
                  <c:v>2.0699999999999998</c:v>
                </c:pt>
                <c:pt idx="187">
                  <c:v>4.2699999999999996</c:v>
                </c:pt>
                <c:pt idx="188">
                  <c:v>2.54</c:v>
                </c:pt>
                <c:pt idx="189">
                  <c:v>2.74</c:v>
                </c:pt>
                <c:pt idx="190">
                  <c:v>6.74</c:v>
                </c:pt>
                <c:pt idx="191">
                  <c:v>3.64</c:v>
                </c:pt>
                <c:pt idx="192">
                  <c:v>8.0500000000000007</c:v>
                </c:pt>
                <c:pt idx="193">
                  <c:v>2.73</c:v>
                </c:pt>
                <c:pt idx="194">
                  <c:v>2.12</c:v>
                </c:pt>
                <c:pt idx="195">
                  <c:v>5.29</c:v>
                </c:pt>
                <c:pt idx="196">
                  <c:v>9.4499999999999993</c:v>
                </c:pt>
                <c:pt idx="197">
                  <c:v>7.45</c:v>
                </c:pt>
                <c:pt idx="198">
                  <c:v>7.2</c:v>
                </c:pt>
                <c:pt idx="199">
                  <c:v>4.62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6-4A03-83E3-D6D1C26D6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17055"/>
        <c:axId val="1669925695"/>
      </c:scatterChart>
      <c:valAx>
        <c:axId val="166991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浏览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9925695"/>
        <c:crosses val="autoZero"/>
        <c:crossBetween val="midCat"/>
      </c:valAx>
      <c:valAx>
        <c:axId val="166992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转化率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991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时段可视化!$B$1</c:f>
              <c:strCache>
                <c:ptCount val="1"/>
                <c:pt idx="0">
                  <c:v>pv_cnt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时段可视化!$A$2:$A$25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时段可视化!$B$2:$B$25</c:f>
              <c:numCache>
                <c:formatCode>General</c:formatCode>
                <c:ptCount val="24"/>
                <c:pt idx="0">
                  <c:v>3056936</c:v>
                </c:pt>
                <c:pt idx="1">
                  <c:v>1421673</c:v>
                </c:pt>
                <c:pt idx="2">
                  <c:v>769269</c:v>
                </c:pt>
                <c:pt idx="3">
                  <c:v>524992</c:v>
                </c:pt>
                <c:pt idx="4">
                  <c:v>449628</c:v>
                </c:pt>
                <c:pt idx="5">
                  <c:v>581694</c:v>
                </c:pt>
                <c:pt idx="6">
                  <c:v>1226653</c:v>
                </c:pt>
                <c:pt idx="7">
                  <c:v>2228959</c:v>
                </c:pt>
                <c:pt idx="8">
                  <c:v>3042342</c:v>
                </c:pt>
                <c:pt idx="9">
                  <c:v>3728498</c:v>
                </c:pt>
                <c:pt idx="10">
                  <c:v>4334810</c:v>
                </c:pt>
                <c:pt idx="11">
                  <c:v>4213518</c:v>
                </c:pt>
                <c:pt idx="12">
                  <c:v>4255794</c:v>
                </c:pt>
                <c:pt idx="13">
                  <c:v>4653934</c:v>
                </c:pt>
                <c:pt idx="14">
                  <c:v>4642056</c:v>
                </c:pt>
                <c:pt idx="15">
                  <c:v>4806706</c:v>
                </c:pt>
                <c:pt idx="16">
                  <c:v>4607745</c:v>
                </c:pt>
                <c:pt idx="17">
                  <c:v>4203397</c:v>
                </c:pt>
                <c:pt idx="18">
                  <c:v>4313516</c:v>
                </c:pt>
                <c:pt idx="19">
                  <c:v>5430878</c:v>
                </c:pt>
                <c:pt idx="20">
                  <c:v>6586331</c:v>
                </c:pt>
                <c:pt idx="21">
                  <c:v>7538383</c:v>
                </c:pt>
                <c:pt idx="22">
                  <c:v>7443073</c:v>
                </c:pt>
                <c:pt idx="23">
                  <c:v>5599903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3-4986-807E-DC5CB8EF25BD}"/>
            </c:ext>
          </c:extLst>
        </c:ser>
        <c:ser>
          <c:idx val="1"/>
          <c:order val="1"/>
          <c:tx>
            <c:strRef>
              <c:f>时段可视化!$C$1</c:f>
              <c:strCache>
                <c:ptCount val="1"/>
                <c:pt idx="0">
                  <c:v>buy_cnt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时段可视化!$A$2:$A$25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时段可视化!$C$2:$C$25</c:f>
              <c:numCache>
                <c:formatCode>General</c:formatCode>
                <c:ptCount val="24"/>
                <c:pt idx="0">
                  <c:v>57776</c:v>
                </c:pt>
                <c:pt idx="1">
                  <c:v>23169</c:v>
                </c:pt>
                <c:pt idx="2">
                  <c:v>12012</c:v>
                </c:pt>
                <c:pt idx="3">
                  <c:v>8026</c:v>
                </c:pt>
                <c:pt idx="4">
                  <c:v>6748</c:v>
                </c:pt>
                <c:pt idx="5">
                  <c:v>8135</c:v>
                </c:pt>
                <c:pt idx="6">
                  <c:v>18014</c:v>
                </c:pt>
                <c:pt idx="7">
                  <c:v>37679</c:v>
                </c:pt>
                <c:pt idx="8">
                  <c:v>64917</c:v>
                </c:pt>
                <c:pt idx="9">
                  <c:v>96134</c:v>
                </c:pt>
                <c:pt idx="10">
                  <c:v>127933</c:v>
                </c:pt>
                <c:pt idx="11">
                  <c:v>122048</c:v>
                </c:pt>
                <c:pt idx="12">
                  <c:v>118591</c:v>
                </c:pt>
                <c:pt idx="13">
                  <c:v>123427</c:v>
                </c:pt>
                <c:pt idx="14">
                  <c:v>122172</c:v>
                </c:pt>
                <c:pt idx="15">
                  <c:v>122733</c:v>
                </c:pt>
                <c:pt idx="16">
                  <c:v>116446</c:v>
                </c:pt>
                <c:pt idx="17">
                  <c:v>101301</c:v>
                </c:pt>
                <c:pt idx="18">
                  <c:v>95907</c:v>
                </c:pt>
                <c:pt idx="19">
                  <c:v>115032</c:v>
                </c:pt>
                <c:pt idx="20">
                  <c:v>133863</c:v>
                </c:pt>
                <c:pt idx="21">
                  <c:v>145433</c:v>
                </c:pt>
                <c:pt idx="22">
                  <c:v>138268</c:v>
                </c:pt>
                <c:pt idx="23">
                  <c:v>100075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93-4986-807E-DC5CB8EF2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911373440"/>
        <c:axId val="914349984"/>
      </c:barChart>
      <c:lineChart>
        <c:grouping val="standard"/>
        <c:varyColors val="0"/>
        <c:ser>
          <c:idx val="2"/>
          <c:order val="2"/>
          <c:tx>
            <c:strRef>
              <c:f>时段可视化!$D$1</c:f>
              <c:strCache>
                <c:ptCount val="1"/>
                <c:pt idx="0">
                  <c:v>buy / pv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时段可视化!$D$2:$D$25</c:f>
              <c:numCache>
                <c:formatCode>General</c:formatCode>
                <c:ptCount val="24"/>
                <c:pt idx="0">
                  <c:v>1.89</c:v>
                </c:pt>
                <c:pt idx="1">
                  <c:v>1.63</c:v>
                </c:pt>
                <c:pt idx="2">
                  <c:v>1.56</c:v>
                </c:pt>
                <c:pt idx="3">
                  <c:v>1.53</c:v>
                </c:pt>
                <c:pt idx="4">
                  <c:v>1.5</c:v>
                </c:pt>
                <c:pt idx="5">
                  <c:v>1.4</c:v>
                </c:pt>
                <c:pt idx="6">
                  <c:v>1.47</c:v>
                </c:pt>
                <c:pt idx="7">
                  <c:v>1.69</c:v>
                </c:pt>
                <c:pt idx="8">
                  <c:v>2.13</c:v>
                </c:pt>
                <c:pt idx="9">
                  <c:v>2.58</c:v>
                </c:pt>
                <c:pt idx="10">
                  <c:v>2.95</c:v>
                </c:pt>
                <c:pt idx="11">
                  <c:v>2.9</c:v>
                </c:pt>
                <c:pt idx="12">
                  <c:v>2.79</c:v>
                </c:pt>
                <c:pt idx="13">
                  <c:v>2.65</c:v>
                </c:pt>
                <c:pt idx="14">
                  <c:v>2.63</c:v>
                </c:pt>
                <c:pt idx="15">
                  <c:v>2.5499999999999998</c:v>
                </c:pt>
                <c:pt idx="16">
                  <c:v>2.5299999999999998</c:v>
                </c:pt>
                <c:pt idx="17">
                  <c:v>2.41</c:v>
                </c:pt>
                <c:pt idx="18">
                  <c:v>2.2200000000000002</c:v>
                </c:pt>
                <c:pt idx="19">
                  <c:v>2.12</c:v>
                </c:pt>
                <c:pt idx="20">
                  <c:v>2.0299999999999998</c:v>
                </c:pt>
                <c:pt idx="21">
                  <c:v>1.93</c:v>
                </c:pt>
                <c:pt idx="22">
                  <c:v>1.86</c:v>
                </c:pt>
                <c:pt idx="23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93-4986-807E-DC5CB8EF2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195872"/>
        <c:axId val="811197792"/>
      </c:lineChart>
      <c:catAx>
        <c:axId val="91137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4349984"/>
        <c:crosses val="autoZero"/>
        <c:auto val="1"/>
        <c:lblAlgn val="ctr"/>
        <c:lblOffset val="100"/>
        <c:noMultiLvlLbl val="0"/>
      </c:catAx>
      <c:valAx>
        <c:axId val="9143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1373440"/>
        <c:crosses val="autoZero"/>
        <c:crossBetween val="between"/>
      </c:valAx>
      <c:valAx>
        <c:axId val="81119779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195872"/>
        <c:crosses val="max"/>
        <c:crossBetween val="between"/>
      </c:valAx>
      <c:catAx>
        <c:axId val="811195872"/>
        <c:scaling>
          <c:orientation val="minMax"/>
        </c:scaling>
        <c:delete val="1"/>
        <c:axPos val="b"/>
        <c:majorTickMark val="out"/>
        <c:minorTickMark val="none"/>
        <c:tickLblPos val="nextTo"/>
        <c:crossAx val="8111977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[1]路径表!$B$1</c:f>
              <c:strCache>
                <c:ptCount val="1"/>
                <c:pt idx="0">
                  <c:v>人数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D2-4F48-9788-4A1D05D7CB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D2-4F48-9788-4A1D05D7CBC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D2-4F48-9788-4A1D05D7CBC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D2-4F48-9788-4A1D05D7CB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[1]路径表!$A$2:$A$5</c:f>
              <c:strCache>
                <c:ptCount val="4"/>
                <c:pt idx="0">
                  <c:v>直接购买</c:v>
                </c:pt>
                <c:pt idx="1">
                  <c:v>加购后购买</c:v>
                </c:pt>
                <c:pt idx="2">
                  <c:v>收藏后购买</c:v>
                </c:pt>
                <c:pt idx="3">
                  <c:v>收藏+加购后购买</c:v>
                </c:pt>
              </c:strCache>
            </c:strRef>
          </c:cat>
          <c:val>
            <c:numRef>
              <c:f>[1]路径表!$B$2:$B$5</c:f>
              <c:numCache>
                <c:formatCode>General</c:formatCode>
                <c:ptCount val="4"/>
                <c:pt idx="0">
                  <c:v>1464955</c:v>
                </c:pt>
                <c:pt idx="1">
                  <c:v>331818</c:v>
                </c:pt>
                <c:pt idx="2">
                  <c:v>113893</c:v>
                </c:pt>
                <c:pt idx="3">
                  <c:v>15361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D2-4F48-9788-4A1D05D7CBC9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0</xdr:row>
      <xdr:rowOff>26670</xdr:rowOff>
    </xdr:from>
    <xdr:to>
      <xdr:col>10</xdr:col>
      <xdr:colOff>308610</xdr:colOff>
      <xdr:row>15</xdr:row>
      <xdr:rowOff>140970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3D9495C-32BC-99BC-86CF-92945BC0C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7</xdr:row>
      <xdr:rowOff>22860</xdr:rowOff>
    </xdr:from>
    <xdr:to>
      <xdr:col>11</xdr:col>
      <xdr:colOff>281940</xdr:colOff>
      <xdr:row>23</xdr:row>
      <xdr:rowOff>110490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FAA184A-816F-17E4-3D2D-1D4CB7EDC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605790</xdr:colOff>
      <xdr:row>0</xdr:row>
      <xdr:rowOff>0</xdr:rowOff>
    </xdr:from>
    <xdr:to>
      <xdr:col>17</xdr:col>
      <xdr:colOff>594360</xdr:colOff>
      <xdr:row>20</xdr:row>
      <xdr:rowOff>171450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5FD59E8-EF66-B147-AB3F-A443E4E7C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0</xdr:row>
      <xdr:rowOff>7620</xdr:rowOff>
    </xdr:from>
    <xdr:to>
      <xdr:col>11</xdr:col>
      <xdr:colOff>281940</xdr:colOff>
      <xdr:row>15</xdr:row>
      <xdr:rowOff>121920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8AA75E4-7E18-45E2-AE16-4B98BFD1A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6132\Desktop\&#26102;&#27573;&#20998;&#26512;.xlsx" TargetMode="External"/><Relationship Id="rId1" Type="http://schemas.openxmlformats.org/officeDocument/2006/relationships/externalLinkPath" Target="&#26102;&#27573;&#20998;&#26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行为表"/>
      <sheetName val="路径表"/>
      <sheetName val="Sheet1"/>
    </sheetNames>
    <sheetDataSet>
      <sheetData sheetId="0"/>
      <sheetData sheetId="1">
        <row r="1">
          <cell r="B1" t="str">
            <v>人数</v>
          </cell>
        </row>
        <row r="2">
          <cell r="A2" t="str">
            <v>直接购买</v>
          </cell>
          <cell r="B2">
            <v>1464955</v>
          </cell>
        </row>
        <row r="3">
          <cell r="A3" t="str">
            <v>加购后购买</v>
          </cell>
          <cell r="B3">
            <v>331818</v>
          </cell>
        </row>
        <row r="4">
          <cell r="A4" t="str">
            <v>收藏后购买</v>
          </cell>
          <cell r="B4">
            <v>113893</v>
          </cell>
        </row>
        <row r="5">
          <cell r="A5" t="str">
            <v>收藏+加购后购买</v>
          </cell>
          <cell r="B5">
            <v>15361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9677-959E-47C8-8B62-DB3CED855212}">
  <dimension ref="A1:K19"/>
  <sheetViews>
    <sheetView showGridLines="0" workbookViewId="0">
      <selection activeCell="A18" sqref="A18"/>
    </sheetView>
  </sheetViews>
  <sheetFormatPr defaultRowHeight="13.8" x14ac:dyDescent="0.25"/>
  <cols>
    <col min="1" max="1" width="13.6640625" bestFit="1" customWidth="1"/>
  </cols>
  <sheetData>
    <row r="1" spans="1:2" x14ac:dyDescent="0.25">
      <c r="A1" s="8" t="s">
        <v>26</v>
      </c>
      <c r="B1" s="8" t="s">
        <v>27</v>
      </c>
    </row>
    <row r="2" spans="1:2" x14ac:dyDescent="0.25">
      <c r="A2" s="14" t="s">
        <v>28</v>
      </c>
      <c r="B2" s="7">
        <v>71015192</v>
      </c>
    </row>
    <row r="3" spans="1:2" x14ac:dyDescent="0.25">
      <c r="A3" s="14" t="s">
        <v>29</v>
      </c>
      <c r="B3" s="7">
        <v>5386584</v>
      </c>
    </row>
    <row r="4" spans="1:2" x14ac:dyDescent="0.25">
      <c r="A4" s="14" t="s">
        <v>30</v>
      </c>
      <c r="B4" s="7">
        <v>2869977</v>
      </c>
    </row>
    <row r="5" spans="1:2" x14ac:dyDescent="0.25">
      <c r="A5" s="14" t="s">
        <v>31</v>
      </c>
      <c r="B5" s="7">
        <v>1926027</v>
      </c>
    </row>
    <row r="7" spans="1:2" x14ac:dyDescent="0.25">
      <c r="A7" s="15" t="s">
        <v>32</v>
      </c>
      <c r="B7">
        <f>SUM(B3:B4)</f>
        <v>8256561</v>
      </c>
    </row>
    <row r="18" spans="1:11" x14ac:dyDescent="0.25">
      <c r="A18" s="4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4" t="s">
        <v>33</v>
      </c>
      <c r="B19" s="4"/>
      <c r="C19" s="4"/>
      <c r="D19" s="4"/>
      <c r="E19" s="4"/>
      <c r="F19" s="4"/>
      <c r="G19" s="4"/>
      <c r="H19" s="4"/>
      <c r="I19" s="4"/>
      <c r="J19" s="4"/>
      <c r="K19" s="4"/>
    </row>
  </sheetData>
  <phoneticPr fontId="1" type="noConversion"/>
  <pageMargins left="0.7" right="0.7" top="0.75" bottom="0.75" header="0.3" footer="0.3"/>
  <ignoredErrors>
    <ignoredError sqref="B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showGridLines="0" workbookViewId="0">
      <selection activeCell="G26" sqref="G26"/>
    </sheetView>
  </sheetViews>
  <sheetFormatPr defaultRowHeight="13.8" x14ac:dyDescent="0.25"/>
  <cols>
    <col min="1" max="1" width="11.33203125" bestFit="1" customWidth="1"/>
    <col min="7" max="7" width="14.88671875" bestFit="1" customWidth="1"/>
    <col min="8" max="8" width="18.77734375" customWidth="1"/>
    <col min="9" max="9" width="12.6640625" bestFit="1" customWidth="1"/>
    <col min="10" max="10" width="15.6640625" customWidth="1"/>
    <col min="12" max="12" width="17.6640625" bestFit="1" customWidth="1"/>
  </cols>
  <sheetData>
    <row r="1" spans="1:12" ht="14.4" thickBo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H1" s="11" t="s">
        <v>6</v>
      </c>
      <c r="I1" s="11" t="s">
        <v>7</v>
      </c>
      <c r="J1" s="11" t="s">
        <v>5</v>
      </c>
    </row>
    <row r="2" spans="1:12" x14ac:dyDescent="0.25">
      <c r="A2" s="7">
        <v>4756105</v>
      </c>
      <c r="B2" s="7">
        <v>3402690</v>
      </c>
      <c r="C2" s="7">
        <v>342846</v>
      </c>
      <c r="D2" s="7">
        <v>26648</v>
      </c>
      <c r="E2" s="7">
        <v>0.78</v>
      </c>
      <c r="H2" s="11">
        <v>71015192</v>
      </c>
      <c r="I2" s="11">
        <v>1926027</v>
      </c>
      <c r="J2" s="12">
        <f>I2/H2</f>
        <v>2.7121337642796207E-2</v>
      </c>
    </row>
    <row r="3" spans="1:12" x14ac:dyDescent="0.25">
      <c r="A3" s="7">
        <v>4145813</v>
      </c>
      <c r="B3" s="7">
        <v>2450934</v>
      </c>
      <c r="C3" s="7">
        <v>276022</v>
      </c>
      <c r="D3" s="7">
        <v>30175</v>
      </c>
      <c r="E3" s="7">
        <v>1.23</v>
      </c>
    </row>
    <row r="4" spans="1:12" x14ac:dyDescent="0.25">
      <c r="A4" s="7">
        <v>2355072</v>
      </c>
      <c r="B4" s="7">
        <v>2416038</v>
      </c>
      <c r="C4" s="7">
        <v>201962</v>
      </c>
      <c r="D4" s="7">
        <v>11616</v>
      </c>
      <c r="E4" s="7">
        <v>0.48</v>
      </c>
    </row>
    <row r="5" spans="1:12" x14ac:dyDescent="0.25">
      <c r="A5" s="7">
        <v>3607361</v>
      </c>
      <c r="B5" s="7">
        <v>2250648</v>
      </c>
      <c r="C5" s="7">
        <v>173996</v>
      </c>
      <c r="D5" s="7">
        <v>11709</v>
      </c>
      <c r="E5" s="7">
        <v>0.52</v>
      </c>
      <c r="G5" s="11" t="s">
        <v>8</v>
      </c>
      <c r="H5" s="11" t="s">
        <v>9</v>
      </c>
      <c r="I5" s="11" t="s">
        <v>10</v>
      </c>
      <c r="J5" s="11" t="s">
        <v>11</v>
      </c>
    </row>
    <row r="6" spans="1:12" x14ac:dyDescent="0.25">
      <c r="A6" s="7">
        <v>982926</v>
      </c>
      <c r="B6" s="7">
        <v>2229700</v>
      </c>
      <c r="C6" s="7">
        <v>235840</v>
      </c>
      <c r="D6" s="7">
        <v>23634</v>
      </c>
      <c r="E6" s="7">
        <v>1.06</v>
      </c>
      <c r="G6" s="13">
        <f>H6/H2</f>
        <v>0.27699606867217935</v>
      </c>
      <c r="H6" s="11">
        <f>SUM(B2:B11)</f>
        <v>19670929</v>
      </c>
      <c r="I6" s="11">
        <f>SUM(D2:D11)</f>
        <v>182863</v>
      </c>
      <c r="J6" s="12">
        <f>I6/H6</f>
        <v>9.2961039104965497E-3</v>
      </c>
      <c r="L6" s="2"/>
    </row>
    <row r="7" spans="1:12" x14ac:dyDescent="0.25">
      <c r="A7" s="7">
        <v>2520377</v>
      </c>
      <c r="B7" s="7">
        <v>1663540</v>
      </c>
      <c r="C7" s="7">
        <v>149774</v>
      </c>
      <c r="D7" s="7">
        <v>9269</v>
      </c>
      <c r="E7" s="7">
        <v>0.56000000000000005</v>
      </c>
    </row>
    <row r="8" spans="1:12" x14ac:dyDescent="0.25">
      <c r="A8" s="7">
        <v>4801426</v>
      </c>
      <c r="B8" s="7">
        <v>1469003</v>
      </c>
      <c r="C8" s="7">
        <v>184199</v>
      </c>
      <c r="D8" s="7">
        <v>25172</v>
      </c>
      <c r="E8" s="7">
        <v>1.71</v>
      </c>
    </row>
    <row r="9" spans="1:12" x14ac:dyDescent="0.25">
      <c r="A9" s="7">
        <v>1320293</v>
      </c>
      <c r="B9" s="7">
        <v>1429897</v>
      </c>
      <c r="C9" s="7">
        <v>144010</v>
      </c>
      <c r="D9" s="7">
        <v>16288</v>
      </c>
      <c r="E9" s="7">
        <v>1.1399999999999999</v>
      </c>
    </row>
    <row r="10" spans="1:12" x14ac:dyDescent="0.25">
      <c r="A10" s="7">
        <v>2465336</v>
      </c>
      <c r="B10" s="7">
        <v>1213274</v>
      </c>
      <c r="C10" s="7">
        <v>135189</v>
      </c>
      <c r="D10" s="7">
        <v>12684</v>
      </c>
      <c r="E10" s="7">
        <v>1.05</v>
      </c>
    </row>
    <row r="11" spans="1:12" x14ac:dyDescent="0.25">
      <c r="A11" s="7">
        <v>3002561</v>
      </c>
      <c r="B11" s="7">
        <v>1145205</v>
      </c>
      <c r="C11" s="7">
        <v>130946</v>
      </c>
      <c r="D11" s="7">
        <v>15668</v>
      </c>
      <c r="E11" s="7">
        <v>1.37</v>
      </c>
      <c r="G11" s="1"/>
    </row>
    <row r="12" spans="1:12" x14ac:dyDescent="0.25">
      <c r="A12" s="7">
        <v>2735466</v>
      </c>
      <c r="B12" s="7">
        <v>892136</v>
      </c>
      <c r="C12" s="7">
        <v>125052</v>
      </c>
      <c r="D12" s="7">
        <v>31870</v>
      </c>
      <c r="E12" s="7">
        <v>3.57</v>
      </c>
    </row>
    <row r="13" spans="1:12" x14ac:dyDescent="0.25">
      <c r="A13" s="7">
        <v>4181361</v>
      </c>
      <c r="B13" s="7">
        <v>812803</v>
      </c>
      <c r="C13" s="7">
        <v>97289</v>
      </c>
      <c r="D13" s="7">
        <v>8045</v>
      </c>
      <c r="E13" s="7">
        <v>0.99</v>
      </c>
    </row>
    <row r="14" spans="1:12" x14ac:dyDescent="0.25">
      <c r="A14" s="7">
        <v>149192</v>
      </c>
      <c r="B14" s="7">
        <v>791483</v>
      </c>
      <c r="C14" s="7">
        <v>97607</v>
      </c>
      <c r="D14" s="7">
        <v>10560</v>
      </c>
      <c r="E14" s="7">
        <v>1.33</v>
      </c>
    </row>
    <row r="15" spans="1:12" x14ac:dyDescent="0.25">
      <c r="A15" s="7">
        <v>2885642</v>
      </c>
      <c r="B15" s="7">
        <v>779049</v>
      </c>
      <c r="C15" s="7">
        <v>83048</v>
      </c>
      <c r="D15" s="7">
        <v>30899</v>
      </c>
      <c r="E15" s="7">
        <v>3.97</v>
      </c>
    </row>
    <row r="16" spans="1:12" x14ac:dyDescent="0.25">
      <c r="A16" s="7">
        <v>1080785</v>
      </c>
      <c r="B16" s="7">
        <v>769677</v>
      </c>
      <c r="C16" s="7">
        <v>69034</v>
      </c>
      <c r="D16" s="7">
        <v>4223</v>
      </c>
      <c r="E16" s="7">
        <v>0.55000000000000004</v>
      </c>
    </row>
    <row r="17" spans="1:12" x14ac:dyDescent="0.25">
      <c r="A17" s="7">
        <v>4217906</v>
      </c>
      <c r="B17" s="7">
        <v>725045</v>
      </c>
      <c r="C17" s="7">
        <v>93107</v>
      </c>
      <c r="D17" s="7">
        <v>13624</v>
      </c>
      <c r="E17" s="7">
        <v>1.88</v>
      </c>
    </row>
    <row r="18" spans="1:12" x14ac:dyDescent="0.25">
      <c r="A18" s="7">
        <v>154040</v>
      </c>
      <c r="B18" s="7">
        <v>719720</v>
      </c>
      <c r="C18" s="7">
        <v>49925</v>
      </c>
      <c r="D18" s="7">
        <v>2285</v>
      </c>
      <c r="E18" s="7">
        <v>0.32</v>
      </c>
    </row>
    <row r="19" spans="1:12" x14ac:dyDescent="0.25">
      <c r="A19" s="7">
        <v>3738615</v>
      </c>
      <c r="B19" s="7">
        <v>650534</v>
      </c>
      <c r="C19" s="7">
        <v>75361</v>
      </c>
      <c r="D19" s="7">
        <v>9386</v>
      </c>
      <c r="E19" s="7">
        <v>1.44</v>
      </c>
    </row>
    <row r="20" spans="1:12" x14ac:dyDescent="0.25">
      <c r="A20" s="7">
        <v>2640118</v>
      </c>
      <c r="B20" s="7">
        <v>581200</v>
      </c>
      <c r="C20" s="7">
        <v>76841</v>
      </c>
      <c r="D20" s="7">
        <v>17343</v>
      </c>
      <c r="E20" s="7">
        <v>2.98</v>
      </c>
    </row>
    <row r="21" spans="1:12" x14ac:dyDescent="0.25">
      <c r="A21" s="7">
        <v>1879194</v>
      </c>
      <c r="B21" s="7">
        <v>581198</v>
      </c>
      <c r="C21" s="7">
        <v>62754</v>
      </c>
      <c r="D21" s="7">
        <v>12048</v>
      </c>
      <c r="E21" s="7">
        <v>2.0699999999999998</v>
      </c>
    </row>
    <row r="22" spans="1:12" x14ac:dyDescent="0.25">
      <c r="A22" s="7">
        <v>1464116</v>
      </c>
      <c r="B22" s="7">
        <v>552718</v>
      </c>
      <c r="C22" s="7">
        <v>82287</v>
      </c>
      <c r="D22" s="7">
        <v>33612</v>
      </c>
      <c r="E22" s="7">
        <v>6.08</v>
      </c>
    </row>
    <row r="23" spans="1:12" x14ac:dyDescent="0.25">
      <c r="A23" s="7">
        <v>2520771</v>
      </c>
      <c r="B23" s="7">
        <v>546267</v>
      </c>
      <c r="C23" s="7">
        <v>62063</v>
      </c>
      <c r="D23" s="7">
        <v>10480</v>
      </c>
      <c r="E23" s="7">
        <v>1.92</v>
      </c>
    </row>
    <row r="24" spans="1:12" x14ac:dyDescent="0.25">
      <c r="A24" s="7">
        <v>4357323</v>
      </c>
      <c r="B24" s="7">
        <v>532687</v>
      </c>
      <c r="C24" s="7">
        <v>65836</v>
      </c>
      <c r="D24" s="7">
        <v>15158</v>
      </c>
      <c r="E24" s="7">
        <v>2.85</v>
      </c>
    </row>
    <row r="25" spans="1:12" x14ac:dyDescent="0.25">
      <c r="A25" s="7">
        <v>2920476</v>
      </c>
      <c r="B25" s="7">
        <v>525817</v>
      </c>
      <c r="C25" s="7">
        <v>47431</v>
      </c>
      <c r="D25" s="7">
        <v>2600</v>
      </c>
      <c r="E25" s="7">
        <v>0.49</v>
      </c>
    </row>
    <row r="26" spans="1:12" x14ac:dyDescent="0.25">
      <c r="A26" s="7">
        <v>570735</v>
      </c>
      <c r="B26" s="7">
        <v>488776</v>
      </c>
      <c r="C26" s="7">
        <v>67660</v>
      </c>
      <c r="D26" s="7">
        <v>13067</v>
      </c>
      <c r="E26" s="7">
        <v>2.67</v>
      </c>
      <c r="G26" s="3" t="s">
        <v>35</v>
      </c>
      <c r="H26" s="4"/>
      <c r="I26" s="4"/>
      <c r="J26" s="4"/>
      <c r="K26" s="4"/>
      <c r="L26" s="4"/>
    </row>
    <row r="27" spans="1:12" x14ac:dyDescent="0.25">
      <c r="A27" s="7">
        <v>4170419</v>
      </c>
      <c r="B27" s="7">
        <v>439801</v>
      </c>
      <c r="C27" s="7">
        <v>37989</v>
      </c>
      <c r="D27" s="7">
        <v>6201</v>
      </c>
      <c r="E27" s="7">
        <v>1.41</v>
      </c>
    </row>
    <row r="28" spans="1:12" x14ac:dyDescent="0.25">
      <c r="A28" s="7">
        <v>2096639</v>
      </c>
      <c r="B28" s="7">
        <v>407328</v>
      </c>
      <c r="C28" s="7">
        <v>18123</v>
      </c>
      <c r="D28" s="7">
        <v>3981</v>
      </c>
      <c r="E28" s="7">
        <v>0.98</v>
      </c>
    </row>
    <row r="29" spans="1:12" x14ac:dyDescent="0.25">
      <c r="A29" s="7">
        <v>4643350</v>
      </c>
      <c r="B29" s="7">
        <v>401103</v>
      </c>
      <c r="C29" s="7">
        <v>41363</v>
      </c>
      <c r="D29" s="7">
        <v>4834</v>
      </c>
      <c r="E29" s="7">
        <v>1.21</v>
      </c>
    </row>
    <row r="30" spans="1:12" x14ac:dyDescent="0.25">
      <c r="A30" s="7">
        <v>1299190</v>
      </c>
      <c r="B30" s="7">
        <v>396544</v>
      </c>
      <c r="C30" s="7">
        <v>44586</v>
      </c>
      <c r="D30" s="7">
        <v>12969</v>
      </c>
      <c r="E30" s="7">
        <v>3.27</v>
      </c>
    </row>
    <row r="31" spans="1:12" x14ac:dyDescent="0.25">
      <c r="A31" s="7">
        <v>1859277</v>
      </c>
      <c r="B31" s="7">
        <v>391476</v>
      </c>
      <c r="C31" s="7">
        <v>35541</v>
      </c>
      <c r="D31" s="7">
        <v>3405</v>
      </c>
      <c r="E31" s="7">
        <v>0.87</v>
      </c>
    </row>
    <row r="32" spans="1:12" x14ac:dyDescent="0.25">
      <c r="A32" s="7">
        <v>2939262</v>
      </c>
      <c r="B32" s="7">
        <v>380460</v>
      </c>
      <c r="C32" s="7">
        <v>39004</v>
      </c>
      <c r="D32" s="7">
        <v>10420</v>
      </c>
      <c r="E32" s="7">
        <v>2.74</v>
      </c>
    </row>
    <row r="33" spans="1:5" x14ac:dyDescent="0.25">
      <c r="A33" s="7">
        <v>1575622</v>
      </c>
      <c r="B33" s="7">
        <v>361688</v>
      </c>
      <c r="C33" s="7">
        <v>50650</v>
      </c>
      <c r="D33" s="7">
        <v>10787</v>
      </c>
      <c r="E33" s="7">
        <v>2.98</v>
      </c>
    </row>
    <row r="34" spans="1:5" x14ac:dyDescent="0.25">
      <c r="A34" s="7">
        <v>411153</v>
      </c>
      <c r="B34" s="7">
        <v>354894</v>
      </c>
      <c r="C34" s="7">
        <v>48616</v>
      </c>
      <c r="D34" s="7">
        <v>6401</v>
      </c>
      <c r="E34" s="7">
        <v>1.8</v>
      </c>
    </row>
    <row r="35" spans="1:5" x14ac:dyDescent="0.25">
      <c r="A35" s="7">
        <v>1029459</v>
      </c>
      <c r="B35" s="7">
        <v>340323</v>
      </c>
      <c r="C35" s="7">
        <v>41363</v>
      </c>
      <c r="D35" s="7">
        <v>10581</v>
      </c>
      <c r="E35" s="7">
        <v>3.11</v>
      </c>
    </row>
    <row r="36" spans="1:5" x14ac:dyDescent="0.25">
      <c r="A36" s="7">
        <v>4022701</v>
      </c>
      <c r="B36" s="7">
        <v>316740</v>
      </c>
      <c r="C36" s="7">
        <v>31207</v>
      </c>
      <c r="D36" s="7">
        <v>3710</v>
      </c>
      <c r="E36" s="7">
        <v>1.17</v>
      </c>
    </row>
    <row r="37" spans="1:5" x14ac:dyDescent="0.25">
      <c r="A37" s="7">
        <v>3299155</v>
      </c>
      <c r="B37" s="7">
        <v>303959</v>
      </c>
      <c r="C37" s="7">
        <v>35108</v>
      </c>
      <c r="D37" s="7">
        <v>5938</v>
      </c>
      <c r="E37" s="7">
        <v>1.95</v>
      </c>
    </row>
    <row r="38" spans="1:5" x14ac:dyDescent="0.25">
      <c r="A38" s="7">
        <v>2578647</v>
      </c>
      <c r="B38" s="7">
        <v>282263</v>
      </c>
      <c r="C38" s="7">
        <v>34274</v>
      </c>
      <c r="D38" s="7">
        <v>5997</v>
      </c>
      <c r="E38" s="7">
        <v>2.12</v>
      </c>
    </row>
    <row r="39" spans="1:5" x14ac:dyDescent="0.25">
      <c r="A39" s="7">
        <v>2131531</v>
      </c>
      <c r="B39" s="7">
        <v>282025</v>
      </c>
      <c r="C39" s="7">
        <v>32720</v>
      </c>
      <c r="D39" s="7">
        <v>3654</v>
      </c>
      <c r="E39" s="7">
        <v>1.3</v>
      </c>
    </row>
    <row r="40" spans="1:5" x14ac:dyDescent="0.25">
      <c r="A40" s="7">
        <v>1051370</v>
      </c>
      <c r="B40" s="7">
        <v>264852</v>
      </c>
      <c r="C40" s="7">
        <v>26705</v>
      </c>
      <c r="D40" s="7">
        <v>5217</v>
      </c>
      <c r="E40" s="7">
        <v>1.97</v>
      </c>
    </row>
    <row r="41" spans="1:5" x14ac:dyDescent="0.25">
      <c r="A41" s="7">
        <v>903809</v>
      </c>
      <c r="B41" s="7">
        <v>256760</v>
      </c>
      <c r="C41" s="7">
        <v>33997</v>
      </c>
      <c r="D41" s="7">
        <v>14655</v>
      </c>
      <c r="E41" s="7">
        <v>5.71</v>
      </c>
    </row>
    <row r="42" spans="1:5" x14ac:dyDescent="0.25">
      <c r="A42" s="7">
        <v>4789432</v>
      </c>
      <c r="B42" s="7">
        <v>256183</v>
      </c>
      <c r="C42" s="7">
        <v>29067</v>
      </c>
      <c r="D42" s="7">
        <v>15264</v>
      </c>
      <c r="E42" s="7">
        <v>5.96</v>
      </c>
    </row>
    <row r="43" spans="1:5" x14ac:dyDescent="0.25">
      <c r="A43" s="7">
        <v>4690421</v>
      </c>
      <c r="B43" s="7">
        <v>255878</v>
      </c>
      <c r="C43" s="7">
        <v>34058</v>
      </c>
      <c r="D43" s="7">
        <v>4793</v>
      </c>
      <c r="E43" s="7">
        <v>1.87</v>
      </c>
    </row>
    <row r="44" spans="1:5" x14ac:dyDescent="0.25">
      <c r="A44" s="7">
        <v>5071267</v>
      </c>
      <c r="B44" s="7">
        <v>254599</v>
      </c>
      <c r="C44" s="7">
        <v>22233</v>
      </c>
      <c r="D44" s="7">
        <v>4385</v>
      </c>
      <c r="E44" s="7">
        <v>1.72</v>
      </c>
    </row>
    <row r="45" spans="1:5" x14ac:dyDescent="0.25">
      <c r="A45" s="7">
        <v>2926020</v>
      </c>
      <c r="B45" s="7">
        <v>250214</v>
      </c>
      <c r="C45" s="7">
        <v>34147</v>
      </c>
      <c r="D45" s="7">
        <v>5148</v>
      </c>
      <c r="E45" s="7">
        <v>2.06</v>
      </c>
    </row>
    <row r="46" spans="1:5" x14ac:dyDescent="0.25">
      <c r="A46" s="7">
        <v>883960</v>
      </c>
      <c r="B46" s="7">
        <v>233280</v>
      </c>
      <c r="C46" s="7">
        <v>32893</v>
      </c>
      <c r="D46" s="7">
        <v>7135</v>
      </c>
      <c r="E46" s="7">
        <v>3.06</v>
      </c>
    </row>
    <row r="47" spans="1:5" x14ac:dyDescent="0.25">
      <c r="A47" s="7">
        <v>2558244</v>
      </c>
      <c r="B47" s="7">
        <v>231378</v>
      </c>
      <c r="C47" s="7">
        <v>22993</v>
      </c>
      <c r="D47" s="7">
        <v>2551</v>
      </c>
      <c r="E47" s="7">
        <v>1.1000000000000001</v>
      </c>
    </row>
    <row r="48" spans="1:5" x14ac:dyDescent="0.25">
      <c r="A48" s="7">
        <v>753984</v>
      </c>
      <c r="B48" s="7">
        <v>228190</v>
      </c>
      <c r="C48" s="7">
        <v>29538</v>
      </c>
      <c r="D48" s="7">
        <v>3533</v>
      </c>
      <c r="E48" s="7">
        <v>1.55</v>
      </c>
    </row>
    <row r="49" spans="1:5" x14ac:dyDescent="0.25">
      <c r="A49" s="7">
        <v>965809</v>
      </c>
      <c r="B49" s="7">
        <v>206645</v>
      </c>
      <c r="C49" s="7">
        <v>28800</v>
      </c>
      <c r="D49" s="7">
        <v>10300</v>
      </c>
      <c r="E49" s="7">
        <v>4.9800000000000004</v>
      </c>
    </row>
    <row r="50" spans="1:5" x14ac:dyDescent="0.25">
      <c r="A50" s="7">
        <v>5053508</v>
      </c>
      <c r="B50" s="7">
        <v>205068</v>
      </c>
      <c r="C50" s="7">
        <v>23734</v>
      </c>
      <c r="D50" s="7">
        <v>8599</v>
      </c>
      <c r="E50" s="7">
        <v>4.1900000000000004</v>
      </c>
    </row>
    <row r="51" spans="1:5" x14ac:dyDescent="0.25">
      <c r="A51" s="7">
        <v>285583</v>
      </c>
      <c r="B51" s="7">
        <v>203682</v>
      </c>
      <c r="C51" s="7">
        <v>23611</v>
      </c>
      <c r="D51" s="7">
        <v>3857</v>
      </c>
      <c r="E51" s="7">
        <v>1.89</v>
      </c>
    </row>
    <row r="52" spans="1:5" x14ac:dyDescent="0.25">
      <c r="A52" s="7">
        <v>1216617</v>
      </c>
      <c r="B52" s="7">
        <v>203337</v>
      </c>
      <c r="C52" s="7">
        <v>24466</v>
      </c>
      <c r="D52" s="7">
        <v>4894</v>
      </c>
      <c r="E52" s="7">
        <v>2.41</v>
      </c>
    </row>
    <row r="53" spans="1:5" x14ac:dyDescent="0.25">
      <c r="A53" s="7">
        <v>200278</v>
      </c>
      <c r="B53" s="7">
        <v>199307</v>
      </c>
      <c r="C53" s="7">
        <v>20472</v>
      </c>
      <c r="D53" s="7">
        <v>4421</v>
      </c>
      <c r="E53" s="7">
        <v>2.2200000000000002</v>
      </c>
    </row>
    <row r="54" spans="1:5" x14ac:dyDescent="0.25">
      <c r="A54" s="7">
        <v>4244487</v>
      </c>
      <c r="B54" s="7">
        <v>198756</v>
      </c>
      <c r="C54" s="7">
        <v>25129</v>
      </c>
      <c r="D54" s="7">
        <v>7734</v>
      </c>
      <c r="E54" s="7">
        <v>3.89</v>
      </c>
    </row>
    <row r="55" spans="1:5" x14ac:dyDescent="0.25">
      <c r="A55" s="7">
        <v>3645362</v>
      </c>
      <c r="B55" s="7">
        <v>192548</v>
      </c>
      <c r="C55" s="7">
        <v>22357</v>
      </c>
      <c r="D55" s="7">
        <v>6069</v>
      </c>
      <c r="E55" s="7">
        <v>3.15</v>
      </c>
    </row>
    <row r="56" spans="1:5" x14ac:dyDescent="0.25">
      <c r="A56" s="7">
        <v>672001</v>
      </c>
      <c r="B56" s="7">
        <v>190827</v>
      </c>
      <c r="C56" s="7">
        <v>13116</v>
      </c>
      <c r="D56" s="7">
        <v>1576</v>
      </c>
      <c r="E56" s="7">
        <v>0.83</v>
      </c>
    </row>
    <row r="57" spans="1:5" x14ac:dyDescent="0.25">
      <c r="A57" s="7">
        <v>2982027</v>
      </c>
      <c r="B57" s="7">
        <v>188443</v>
      </c>
      <c r="C57" s="7">
        <v>13974</v>
      </c>
      <c r="D57" s="7">
        <v>2492</v>
      </c>
      <c r="E57" s="7">
        <v>1.32</v>
      </c>
    </row>
    <row r="58" spans="1:5" x14ac:dyDescent="0.25">
      <c r="A58" s="7">
        <v>235534</v>
      </c>
      <c r="B58" s="7">
        <v>188437</v>
      </c>
      <c r="C58" s="7">
        <v>25765</v>
      </c>
      <c r="D58" s="7">
        <v>4431</v>
      </c>
      <c r="E58" s="7">
        <v>2.35</v>
      </c>
    </row>
    <row r="59" spans="1:5" x14ac:dyDescent="0.25">
      <c r="A59" s="7">
        <v>4173315</v>
      </c>
      <c r="B59" s="7">
        <v>187200</v>
      </c>
      <c r="C59" s="7">
        <v>14462</v>
      </c>
      <c r="D59" s="7">
        <v>948</v>
      </c>
      <c r="E59" s="7">
        <v>0.51</v>
      </c>
    </row>
    <row r="60" spans="1:5" x14ac:dyDescent="0.25">
      <c r="A60" s="7">
        <v>3004853</v>
      </c>
      <c r="B60" s="7">
        <v>184481</v>
      </c>
      <c r="C60" s="7">
        <v>19673</v>
      </c>
      <c r="D60" s="7">
        <v>3993</v>
      </c>
      <c r="E60" s="7">
        <v>2.16</v>
      </c>
    </row>
    <row r="61" spans="1:5" x14ac:dyDescent="0.25">
      <c r="A61" s="7">
        <v>384755</v>
      </c>
      <c r="B61" s="7">
        <v>183855</v>
      </c>
      <c r="C61" s="7">
        <v>16144</v>
      </c>
      <c r="D61" s="7">
        <v>1980</v>
      </c>
      <c r="E61" s="7">
        <v>1.08</v>
      </c>
    </row>
    <row r="62" spans="1:5" x14ac:dyDescent="0.25">
      <c r="A62" s="7">
        <v>737184</v>
      </c>
      <c r="B62" s="7">
        <v>183368</v>
      </c>
      <c r="C62" s="7">
        <v>13742</v>
      </c>
      <c r="D62" s="7">
        <v>690</v>
      </c>
      <c r="E62" s="7">
        <v>0.38</v>
      </c>
    </row>
    <row r="63" spans="1:5" x14ac:dyDescent="0.25">
      <c r="A63" s="7">
        <v>3720767</v>
      </c>
      <c r="B63" s="7">
        <v>178734</v>
      </c>
      <c r="C63" s="7">
        <v>20799</v>
      </c>
      <c r="D63" s="7">
        <v>2827</v>
      </c>
      <c r="E63" s="7">
        <v>1.58</v>
      </c>
    </row>
    <row r="64" spans="1:5" x14ac:dyDescent="0.25">
      <c r="A64" s="7">
        <v>1567637</v>
      </c>
      <c r="B64" s="7">
        <v>172852</v>
      </c>
      <c r="C64" s="7">
        <v>22195</v>
      </c>
      <c r="D64" s="7">
        <v>6883</v>
      </c>
      <c r="E64" s="7">
        <v>3.98</v>
      </c>
    </row>
    <row r="65" spans="1:5" x14ac:dyDescent="0.25">
      <c r="A65" s="7">
        <v>4672807</v>
      </c>
      <c r="B65" s="7">
        <v>170274</v>
      </c>
      <c r="C65" s="7">
        <v>21519</v>
      </c>
      <c r="D65" s="7">
        <v>8275</v>
      </c>
      <c r="E65" s="7">
        <v>4.8600000000000003</v>
      </c>
    </row>
    <row r="66" spans="1:5" x14ac:dyDescent="0.25">
      <c r="A66" s="7">
        <v>344833</v>
      </c>
      <c r="B66" s="7">
        <v>165513</v>
      </c>
      <c r="C66" s="7">
        <v>14419</v>
      </c>
      <c r="D66" s="7">
        <v>882</v>
      </c>
      <c r="E66" s="7">
        <v>0.53</v>
      </c>
    </row>
    <row r="67" spans="1:5" x14ac:dyDescent="0.25">
      <c r="A67" s="7">
        <v>4339722</v>
      </c>
      <c r="B67" s="7">
        <v>162213</v>
      </c>
      <c r="C67" s="7">
        <v>18980</v>
      </c>
      <c r="D67" s="7">
        <v>3034</v>
      </c>
      <c r="E67" s="7">
        <v>1.87</v>
      </c>
    </row>
    <row r="68" spans="1:5" x14ac:dyDescent="0.25">
      <c r="A68" s="7">
        <v>2945933</v>
      </c>
      <c r="B68" s="7">
        <v>149381</v>
      </c>
      <c r="C68" s="7">
        <v>17298</v>
      </c>
      <c r="D68" s="7">
        <v>3574</v>
      </c>
      <c r="E68" s="7">
        <v>2.39</v>
      </c>
    </row>
    <row r="69" spans="1:5" x14ac:dyDescent="0.25">
      <c r="A69" s="7">
        <v>1349561</v>
      </c>
      <c r="B69" s="7">
        <v>148650</v>
      </c>
      <c r="C69" s="7">
        <v>20451</v>
      </c>
      <c r="D69" s="7">
        <v>7259</v>
      </c>
      <c r="E69" s="7">
        <v>4.88</v>
      </c>
    </row>
    <row r="70" spans="1:5" x14ac:dyDescent="0.25">
      <c r="A70" s="7">
        <v>3102419</v>
      </c>
      <c r="B70" s="7">
        <v>147316</v>
      </c>
      <c r="C70" s="7">
        <v>15917</v>
      </c>
      <c r="D70" s="7">
        <v>1438</v>
      </c>
      <c r="E70" s="7">
        <v>0.98</v>
      </c>
    </row>
    <row r="71" spans="1:5" x14ac:dyDescent="0.25">
      <c r="A71" s="7">
        <v>4069500</v>
      </c>
      <c r="B71" s="7">
        <v>144474</v>
      </c>
      <c r="C71" s="7">
        <v>18995</v>
      </c>
      <c r="D71" s="7">
        <v>3475</v>
      </c>
      <c r="E71" s="7">
        <v>2.41</v>
      </c>
    </row>
    <row r="72" spans="1:5" x14ac:dyDescent="0.25">
      <c r="A72" s="7">
        <v>4159072</v>
      </c>
      <c r="B72" s="7">
        <v>143455</v>
      </c>
      <c r="C72" s="7">
        <v>19990</v>
      </c>
      <c r="D72" s="7">
        <v>17467</v>
      </c>
      <c r="E72" s="7">
        <v>12.18</v>
      </c>
    </row>
    <row r="73" spans="1:5" x14ac:dyDescent="0.25">
      <c r="A73" s="7">
        <v>1787510</v>
      </c>
      <c r="B73" s="7">
        <v>140992</v>
      </c>
      <c r="C73" s="7">
        <v>18080</v>
      </c>
      <c r="D73" s="7">
        <v>7259</v>
      </c>
      <c r="E73" s="7">
        <v>5.15</v>
      </c>
    </row>
    <row r="74" spans="1:5" x14ac:dyDescent="0.25">
      <c r="A74" s="7">
        <v>2462567</v>
      </c>
      <c r="B74" s="7">
        <v>139844</v>
      </c>
      <c r="C74" s="7">
        <v>11073</v>
      </c>
      <c r="D74" s="7">
        <v>1556</v>
      </c>
      <c r="E74" s="7">
        <v>1.1100000000000001</v>
      </c>
    </row>
    <row r="75" spans="1:5" x14ac:dyDescent="0.25">
      <c r="A75" s="7">
        <v>238434</v>
      </c>
      <c r="B75" s="7">
        <v>138552</v>
      </c>
      <c r="C75" s="7">
        <v>18058</v>
      </c>
      <c r="D75" s="7">
        <v>3481</v>
      </c>
      <c r="E75" s="7">
        <v>2.5099999999999998</v>
      </c>
    </row>
    <row r="76" spans="1:5" x14ac:dyDescent="0.25">
      <c r="A76" s="7">
        <v>4082778</v>
      </c>
      <c r="B76" s="7">
        <v>137653</v>
      </c>
      <c r="C76" s="7">
        <v>13973</v>
      </c>
      <c r="D76" s="7">
        <v>2704</v>
      </c>
      <c r="E76" s="7">
        <v>1.96</v>
      </c>
    </row>
    <row r="77" spans="1:5" x14ac:dyDescent="0.25">
      <c r="A77" s="7">
        <v>3776866</v>
      </c>
      <c r="B77" s="7">
        <v>137230</v>
      </c>
      <c r="C77" s="7">
        <v>20273</v>
      </c>
      <c r="D77" s="7">
        <v>8647</v>
      </c>
      <c r="E77" s="7">
        <v>6.3</v>
      </c>
    </row>
    <row r="78" spans="1:5" x14ac:dyDescent="0.25">
      <c r="A78" s="7">
        <v>4606718</v>
      </c>
      <c r="B78" s="7">
        <v>136618</v>
      </c>
      <c r="C78" s="7">
        <v>17503</v>
      </c>
      <c r="D78" s="7">
        <v>3625</v>
      </c>
      <c r="E78" s="7">
        <v>2.65</v>
      </c>
    </row>
    <row r="79" spans="1:5" x14ac:dyDescent="0.25">
      <c r="A79" s="7">
        <v>1851156</v>
      </c>
      <c r="B79" s="7">
        <v>135537</v>
      </c>
      <c r="C79" s="7">
        <v>15187</v>
      </c>
      <c r="D79" s="7">
        <v>5497</v>
      </c>
      <c r="E79" s="7">
        <v>4.0599999999999996</v>
      </c>
    </row>
    <row r="80" spans="1:5" x14ac:dyDescent="0.25">
      <c r="A80" s="7">
        <v>634390</v>
      </c>
      <c r="B80" s="7">
        <v>133711</v>
      </c>
      <c r="C80" s="7">
        <v>16538</v>
      </c>
      <c r="D80" s="7">
        <v>3273</v>
      </c>
      <c r="E80" s="7">
        <v>2.4500000000000002</v>
      </c>
    </row>
    <row r="81" spans="1:5" x14ac:dyDescent="0.25">
      <c r="A81" s="7">
        <v>245312</v>
      </c>
      <c r="B81" s="7">
        <v>132150</v>
      </c>
      <c r="C81" s="7">
        <v>15305</v>
      </c>
      <c r="D81" s="7">
        <v>4710</v>
      </c>
      <c r="E81" s="7">
        <v>3.56</v>
      </c>
    </row>
    <row r="82" spans="1:5" x14ac:dyDescent="0.25">
      <c r="A82" s="7">
        <v>1265358</v>
      </c>
      <c r="B82" s="7">
        <v>132059</v>
      </c>
      <c r="C82" s="7">
        <v>18027</v>
      </c>
      <c r="D82" s="7">
        <v>8024</v>
      </c>
      <c r="E82" s="7">
        <v>6.08</v>
      </c>
    </row>
    <row r="83" spans="1:5" x14ac:dyDescent="0.25">
      <c r="A83" s="7">
        <v>1568197</v>
      </c>
      <c r="B83" s="7">
        <v>131753</v>
      </c>
      <c r="C83" s="7">
        <v>15467</v>
      </c>
      <c r="D83" s="7">
        <v>2499</v>
      </c>
      <c r="E83" s="7">
        <v>1.9</v>
      </c>
    </row>
    <row r="84" spans="1:5" x14ac:dyDescent="0.25">
      <c r="A84" s="7">
        <v>4558987</v>
      </c>
      <c r="B84" s="7">
        <v>130887</v>
      </c>
      <c r="C84" s="7">
        <v>18224</v>
      </c>
      <c r="D84" s="7">
        <v>6271</v>
      </c>
      <c r="E84" s="7">
        <v>4.79</v>
      </c>
    </row>
    <row r="85" spans="1:5" x14ac:dyDescent="0.25">
      <c r="A85" s="7">
        <v>1379146</v>
      </c>
      <c r="B85" s="7">
        <v>129998</v>
      </c>
      <c r="C85" s="7">
        <v>17439</v>
      </c>
      <c r="D85" s="7">
        <v>3730</v>
      </c>
      <c r="E85" s="7">
        <v>2.87</v>
      </c>
    </row>
    <row r="86" spans="1:5" x14ac:dyDescent="0.25">
      <c r="A86" s="7">
        <v>381850</v>
      </c>
      <c r="B86" s="7">
        <v>128647</v>
      </c>
      <c r="C86" s="7">
        <v>17659</v>
      </c>
      <c r="D86" s="7">
        <v>6387</v>
      </c>
      <c r="E86" s="7">
        <v>4.96</v>
      </c>
    </row>
    <row r="87" spans="1:5" x14ac:dyDescent="0.25">
      <c r="A87" s="7">
        <v>801221</v>
      </c>
      <c r="B87" s="7">
        <v>126725</v>
      </c>
      <c r="C87" s="7">
        <v>18450</v>
      </c>
      <c r="D87" s="7">
        <v>6002</v>
      </c>
      <c r="E87" s="7">
        <v>4.74</v>
      </c>
    </row>
    <row r="88" spans="1:5" x14ac:dyDescent="0.25">
      <c r="A88" s="7">
        <v>1397912</v>
      </c>
      <c r="B88" s="7">
        <v>119649</v>
      </c>
      <c r="C88" s="7">
        <v>12518</v>
      </c>
      <c r="D88" s="7">
        <v>1022</v>
      </c>
      <c r="E88" s="7">
        <v>0.85</v>
      </c>
    </row>
    <row r="89" spans="1:5" x14ac:dyDescent="0.25">
      <c r="A89" s="7">
        <v>4284875</v>
      </c>
      <c r="B89" s="7">
        <v>114789</v>
      </c>
      <c r="C89" s="7">
        <v>11644</v>
      </c>
      <c r="D89" s="7">
        <v>2233</v>
      </c>
      <c r="E89" s="7">
        <v>1.95</v>
      </c>
    </row>
    <row r="90" spans="1:5" x14ac:dyDescent="0.25">
      <c r="A90" s="7">
        <v>846990</v>
      </c>
      <c r="B90" s="7">
        <v>114397</v>
      </c>
      <c r="C90" s="7">
        <v>17027</v>
      </c>
      <c r="D90" s="7">
        <v>6690</v>
      </c>
      <c r="E90" s="7">
        <v>5.85</v>
      </c>
    </row>
    <row r="91" spans="1:5" x14ac:dyDescent="0.25">
      <c r="A91" s="7">
        <v>3598912</v>
      </c>
      <c r="B91" s="7">
        <v>112619</v>
      </c>
      <c r="C91" s="7">
        <v>18766</v>
      </c>
      <c r="D91" s="7">
        <v>6996</v>
      </c>
      <c r="E91" s="7">
        <v>6.21</v>
      </c>
    </row>
    <row r="92" spans="1:5" x14ac:dyDescent="0.25">
      <c r="A92" s="7">
        <v>2440115</v>
      </c>
      <c r="B92" s="7">
        <v>112095</v>
      </c>
      <c r="C92" s="7">
        <v>17172</v>
      </c>
      <c r="D92" s="7">
        <v>4121</v>
      </c>
      <c r="E92" s="7">
        <v>3.68</v>
      </c>
    </row>
    <row r="93" spans="1:5" x14ac:dyDescent="0.25">
      <c r="A93" s="7">
        <v>4962280</v>
      </c>
      <c r="B93" s="7">
        <v>111974</v>
      </c>
      <c r="C93" s="7">
        <v>11529</v>
      </c>
      <c r="D93" s="7">
        <v>1438</v>
      </c>
      <c r="E93" s="7">
        <v>1.28</v>
      </c>
    </row>
    <row r="94" spans="1:5" x14ac:dyDescent="0.25">
      <c r="A94" s="7">
        <v>3065645</v>
      </c>
      <c r="B94" s="7">
        <v>111386</v>
      </c>
      <c r="C94" s="7">
        <v>17345</v>
      </c>
      <c r="D94" s="7">
        <v>6537</v>
      </c>
      <c r="E94" s="7">
        <v>5.87</v>
      </c>
    </row>
    <row r="95" spans="1:5" x14ac:dyDescent="0.25">
      <c r="A95" s="7">
        <v>3158249</v>
      </c>
      <c r="B95" s="7">
        <v>110232</v>
      </c>
      <c r="C95" s="7">
        <v>14771</v>
      </c>
      <c r="D95" s="7">
        <v>7155</v>
      </c>
      <c r="E95" s="7">
        <v>6.49</v>
      </c>
    </row>
    <row r="96" spans="1:5" x14ac:dyDescent="0.25">
      <c r="A96" s="7">
        <v>2228184</v>
      </c>
      <c r="B96" s="7">
        <v>109536</v>
      </c>
      <c r="C96" s="7">
        <v>13650</v>
      </c>
      <c r="D96" s="7">
        <v>1672</v>
      </c>
      <c r="E96" s="7">
        <v>1.53</v>
      </c>
    </row>
    <row r="97" spans="1:5" x14ac:dyDescent="0.25">
      <c r="A97" s="7">
        <v>1275696</v>
      </c>
      <c r="B97" s="7">
        <v>108979</v>
      </c>
      <c r="C97" s="7">
        <v>8802</v>
      </c>
      <c r="D97" s="7">
        <v>948</v>
      </c>
      <c r="E97" s="7">
        <v>0.87</v>
      </c>
    </row>
    <row r="98" spans="1:5" x14ac:dyDescent="0.25">
      <c r="A98" s="7">
        <v>4731191</v>
      </c>
      <c r="B98" s="7">
        <v>106106</v>
      </c>
      <c r="C98" s="7">
        <v>13304</v>
      </c>
      <c r="D98" s="7">
        <v>2981</v>
      </c>
      <c r="E98" s="7">
        <v>2.81</v>
      </c>
    </row>
    <row r="99" spans="1:5" x14ac:dyDescent="0.25">
      <c r="A99" s="7">
        <v>886203</v>
      </c>
      <c r="B99" s="7">
        <v>105925</v>
      </c>
      <c r="C99" s="7">
        <v>12430</v>
      </c>
      <c r="D99" s="7">
        <v>2481</v>
      </c>
      <c r="E99" s="7">
        <v>2.34</v>
      </c>
    </row>
    <row r="100" spans="1:5" x14ac:dyDescent="0.25">
      <c r="A100" s="7">
        <v>119741</v>
      </c>
      <c r="B100" s="7">
        <v>103292</v>
      </c>
      <c r="C100" s="7">
        <v>10952</v>
      </c>
      <c r="D100" s="7">
        <v>2366</v>
      </c>
      <c r="E100" s="7">
        <v>2.29</v>
      </c>
    </row>
    <row r="101" spans="1:5" x14ac:dyDescent="0.25">
      <c r="A101" s="7">
        <v>2181935</v>
      </c>
      <c r="B101" s="7">
        <v>102818</v>
      </c>
      <c r="C101" s="7">
        <v>10370</v>
      </c>
      <c r="D101" s="7">
        <v>560</v>
      </c>
      <c r="E101" s="7">
        <v>0.54</v>
      </c>
    </row>
    <row r="102" spans="1:5" x14ac:dyDescent="0.25">
      <c r="A102" s="7">
        <v>4918438</v>
      </c>
      <c r="B102" s="7">
        <v>102432</v>
      </c>
      <c r="C102" s="7">
        <v>12550</v>
      </c>
      <c r="D102" s="7">
        <v>5394</v>
      </c>
      <c r="E102" s="7">
        <v>5.27</v>
      </c>
    </row>
    <row r="103" spans="1:5" x14ac:dyDescent="0.25">
      <c r="A103" s="7">
        <v>1789614</v>
      </c>
      <c r="B103" s="7">
        <v>101554</v>
      </c>
      <c r="C103" s="7">
        <v>11122</v>
      </c>
      <c r="D103" s="7">
        <v>3014</v>
      </c>
      <c r="E103" s="7">
        <v>2.97</v>
      </c>
    </row>
    <row r="104" spans="1:5" x14ac:dyDescent="0.25">
      <c r="A104" s="7">
        <v>2342116</v>
      </c>
      <c r="B104" s="7">
        <v>98634</v>
      </c>
      <c r="C104" s="7">
        <v>12586</v>
      </c>
      <c r="D104" s="7">
        <v>1799</v>
      </c>
      <c r="E104" s="7">
        <v>1.82</v>
      </c>
    </row>
    <row r="105" spans="1:5" x14ac:dyDescent="0.25">
      <c r="A105" s="7">
        <v>3975787</v>
      </c>
      <c r="B105" s="7">
        <v>98053</v>
      </c>
      <c r="C105" s="7">
        <v>12361</v>
      </c>
      <c r="D105" s="7">
        <v>3657</v>
      </c>
      <c r="E105" s="7">
        <v>3.73</v>
      </c>
    </row>
    <row r="106" spans="1:5" x14ac:dyDescent="0.25">
      <c r="A106" s="7">
        <v>4882154</v>
      </c>
      <c r="B106" s="7">
        <v>97685</v>
      </c>
      <c r="C106" s="7">
        <v>17006</v>
      </c>
      <c r="D106" s="7">
        <v>3197</v>
      </c>
      <c r="E106" s="7">
        <v>3.27</v>
      </c>
    </row>
    <row r="107" spans="1:5" x14ac:dyDescent="0.25">
      <c r="A107" s="7">
        <v>4818107</v>
      </c>
      <c r="B107" s="7">
        <v>97079</v>
      </c>
      <c r="C107" s="7">
        <v>9885</v>
      </c>
      <c r="D107" s="7">
        <v>1820</v>
      </c>
      <c r="E107" s="7">
        <v>1.87</v>
      </c>
    </row>
    <row r="108" spans="1:5" x14ac:dyDescent="0.25">
      <c r="A108" s="7">
        <v>4462359</v>
      </c>
      <c r="B108" s="7">
        <v>96914</v>
      </c>
      <c r="C108" s="7">
        <v>12705</v>
      </c>
      <c r="D108" s="7">
        <v>4121</v>
      </c>
      <c r="E108" s="7">
        <v>4.25</v>
      </c>
    </row>
    <row r="109" spans="1:5" x14ac:dyDescent="0.25">
      <c r="A109" s="7">
        <v>866301</v>
      </c>
      <c r="B109" s="7">
        <v>94817</v>
      </c>
      <c r="C109" s="7">
        <v>15766</v>
      </c>
      <c r="D109" s="7">
        <v>8776</v>
      </c>
      <c r="E109" s="7">
        <v>9.26</v>
      </c>
    </row>
    <row r="110" spans="1:5" x14ac:dyDescent="0.25">
      <c r="A110" s="7">
        <v>3189162</v>
      </c>
      <c r="B110" s="7">
        <v>94235</v>
      </c>
      <c r="C110" s="7">
        <v>11946</v>
      </c>
      <c r="D110" s="7">
        <v>2792</v>
      </c>
      <c r="E110" s="7">
        <v>2.96</v>
      </c>
    </row>
    <row r="111" spans="1:5" x14ac:dyDescent="0.25">
      <c r="A111" s="7">
        <v>1061857</v>
      </c>
      <c r="B111" s="7">
        <v>94163</v>
      </c>
      <c r="C111" s="7">
        <v>7739</v>
      </c>
      <c r="D111" s="7">
        <v>507</v>
      </c>
      <c r="E111" s="7">
        <v>0.54</v>
      </c>
    </row>
    <row r="112" spans="1:5" x14ac:dyDescent="0.25">
      <c r="A112" s="7">
        <v>2693696</v>
      </c>
      <c r="B112" s="7">
        <v>93245</v>
      </c>
      <c r="C112" s="7">
        <v>9269</v>
      </c>
      <c r="D112" s="7">
        <v>1328</v>
      </c>
      <c r="E112" s="7">
        <v>1.42</v>
      </c>
    </row>
    <row r="113" spans="1:5" x14ac:dyDescent="0.25">
      <c r="A113" s="7">
        <v>4993094</v>
      </c>
      <c r="B113" s="7">
        <v>92793</v>
      </c>
      <c r="C113" s="7">
        <v>14851</v>
      </c>
      <c r="D113" s="7">
        <v>3762</v>
      </c>
      <c r="E113" s="7">
        <v>4.05</v>
      </c>
    </row>
    <row r="114" spans="1:5" x14ac:dyDescent="0.25">
      <c r="A114" s="7">
        <v>2629787</v>
      </c>
      <c r="B114" s="7">
        <v>89190</v>
      </c>
      <c r="C114" s="7">
        <v>14416</v>
      </c>
      <c r="D114" s="7">
        <v>2394</v>
      </c>
      <c r="E114" s="7">
        <v>2.68</v>
      </c>
    </row>
    <row r="115" spans="1:5" x14ac:dyDescent="0.25">
      <c r="A115" s="7">
        <v>941949</v>
      </c>
      <c r="B115" s="7">
        <v>89015</v>
      </c>
      <c r="C115" s="7">
        <v>9432</v>
      </c>
      <c r="D115" s="7">
        <v>1065</v>
      </c>
      <c r="E115" s="7">
        <v>1.2</v>
      </c>
    </row>
    <row r="116" spans="1:5" x14ac:dyDescent="0.25">
      <c r="A116" s="7">
        <v>2892802</v>
      </c>
      <c r="B116" s="7">
        <v>88970</v>
      </c>
      <c r="C116" s="7">
        <v>8999</v>
      </c>
      <c r="D116" s="7">
        <v>655</v>
      </c>
      <c r="E116" s="7">
        <v>0.74</v>
      </c>
    </row>
    <row r="117" spans="1:5" x14ac:dyDescent="0.25">
      <c r="A117" s="7">
        <v>1834026</v>
      </c>
      <c r="B117" s="7">
        <v>88718</v>
      </c>
      <c r="C117" s="7">
        <v>13544</v>
      </c>
      <c r="D117" s="7">
        <v>6633</v>
      </c>
      <c r="E117" s="7">
        <v>7.48</v>
      </c>
    </row>
    <row r="118" spans="1:5" x14ac:dyDescent="0.25">
      <c r="A118" s="7">
        <v>1792277</v>
      </c>
      <c r="B118" s="7">
        <v>88706</v>
      </c>
      <c r="C118" s="7">
        <v>10750</v>
      </c>
      <c r="D118" s="7">
        <v>2365</v>
      </c>
      <c r="E118" s="7">
        <v>2.67</v>
      </c>
    </row>
    <row r="119" spans="1:5" x14ac:dyDescent="0.25">
      <c r="A119" s="7">
        <v>102272</v>
      </c>
      <c r="B119" s="7">
        <v>84917</v>
      </c>
      <c r="C119" s="7">
        <v>13063</v>
      </c>
      <c r="D119" s="7">
        <v>3418</v>
      </c>
      <c r="E119" s="7">
        <v>4.03</v>
      </c>
    </row>
    <row r="120" spans="1:5" x14ac:dyDescent="0.25">
      <c r="A120" s="7">
        <v>4697972</v>
      </c>
      <c r="B120" s="7">
        <v>84406</v>
      </c>
      <c r="C120" s="7">
        <v>10178</v>
      </c>
      <c r="D120" s="7">
        <v>3295</v>
      </c>
      <c r="E120" s="7">
        <v>3.9</v>
      </c>
    </row>
    <row r="121" spans="1:5" x14ac:dyDescent="0.25">
      <c r="A121" s="7">
        <v>983613</v>
      </c>
      <c r="B121" s="7">
        <v>83462</v>
      </c>
      <c r="C121" s="7">
        <v>7838</v>
      </c>
      <c r="D121" s="7">
        <v>1041</v>
      </c>
      <c r="E121" s="7">
        <v>1.25</v>
      </c>
    </row>
    <row r="122" spans="1:5" x14ac:dyDescent="0.25">
      <c r="A122" s="7">
        <v>3702593</v>
      </c>
      <c r="B122" s="7">
        <v>82981</v>
      </c>
      <c r="C122" s="7">
        <v>11757</v>
      </c>
      <c r="D122" s="7">
        <v>2977</v>
      </c>
      <c r="E122" s="7">
        <v>3.59</v>
      </c>
    </row>
    <row r="123" spans="1:5" x14ac:dyDescent="0.25">
      <c r="A123" s="7">
        <v>1467750</v>
      </c>
      <c r="B123" s="7">
        <v>81740</v>
      </c>
      <c r="C123" s="7">
        <v>8050</v>
      </c>
      <c r="D123" s="7">
        <v>583</v>
      </c>
      <c r="E123" s="7">
        <v>0.71</v>
      </c>
    </row>
    <row r="124" spans="1:5" x14ac:dyDescent="0.25">
      <c r="A124" s="7">
        <v>3524510</v>
      </c>
      <c r="B124" s="7">
        <v>81160</v>
      </c>
      <c r="C124" s="7">
        <v>10690</v>
      </c>
      <c r="D124" s="7">
        <v>2156</v>
      </c>
      <c r="E124" s="7">
        <v>2.66</v>
      </c>
    </row>
    <row r="125" spans="1:5" x14ac:dyDescent="0.25">
      <c r="A125" s="7">
        <v>171529</v>
      </c>
      <c r="B125" s="7">
        <v>80438</v>
      </c>
      <c r="C125" s="7">
        <v>7494</v>
      </c>
      <c r="D125" s="7">
        <v>1191</v>
      </c>
      <c r="E125" s="7">
        <v>1.48</v>
      </c>
    </row>
    <row r="126" spans="1:5" x14ac:dyDescent="0.25">
      <c r="A126" s="7">
        <v>4163659</v>
      </c>
      <c r="B126" s="7">
        <v>79834</v>
      </c>
      <c r="C126" s="7">
        <v>11806</v>
      </c>
      <c r="D126" s="7">
        <v>1722</v>
      </c>
      <c r="E126" s="7">
        <v>2.16</v>
      </c>
    </row>
    <row r="127" spans="1:5" x14ac:dyDescent="0.25">
      <c r="A127" s="7">
        <v>2572604</v>
      </c>
      <c r="B127" s="7">
        <v>79195</v>
      </c>
      <c r="C127" s="7">
        <v>9837</v>
      </c>
      <c r="D127" s="7">
        <v>3057</v>
      </c>
      <c r="E127" s="7">
        <v>3.86</v>
      </c>
    </row>
    <row r="128" spans="1:5" x14ac:dyDescent="0.25">
      <c r="A128" s="7">
        <v>383749</v>
      </c>
      <c r="B128" s="7">
        <v>78070</v>
      </c>
      <c r="C128" s="7">
        <v>10123</v>
      </c>
      <c r="D128" s="7">
        <v>1450</v>
      </c>
      <c r="E128" s="7">
        <v>1.86</v>
      </c>
    </row>
    <row r="129" spans="1:5" x14ac:dyDescent="0.25">
      <c r="A129" s="7">
        <v>4358294</v>
      </c>
      <c r="B129" s="7">
        <v>77842</v>
      </c>
      <c r="C129" s="7">
        <v>5163</v>
      </c>
      <c r="D129" s="7">
        <v>180</v>
      </c>
      <c r="E129" s="7">
        <v>0.23</v>
      </c>
    </row>
    <row r="130" spans="1:5" x14ac:dyDescent="0.25">
      <c r="A130" s="7">
        <v>4719814</v>
      </c>
      <c r="B130" s="7">
        <v>75942</v>
      </c>
      <c r="C130" s="7">
        <v>10170</v>
      </c>
      <c r="D130" s="7">
        <v>5356</v>
      </c>
      <c r="E130" s="7">
        <v>7.05</v>
      </c>
    </row>
    <row r="131" spans="1:5" x14ac:dyDescent="0.25">
      <c r="A131" s="7">
        <v>1994940</v>
      </c>
      <c r="B131" s="7">
        <v>75380</v>
      </c>
      <c r="C131" s="7">
        <v>6882</v>
      </c>
      <c r="D131" s="7">
        <v>1214</v>
      </c>
      <c r="E131" s="7">
        <v>1.61</v>
      </c>
    </row>
    <row r="132" spans="1:5" x14ac:dyDescent="0.25">
      <c r="A132" s="7">
        <v>3624696</v>
      </c>
      <c r="B132" s="7">
        <v>75060</v>
      </c>
      <c r="C132" s="7">
        <v>9063</v>
      </c>
      <c r="D132" s="7">
        <v>2863</v>
      </c>
      <c r="E132" s="7">
        <v>3.81</v>
      </c>
    </row>
    <row r="133" spans="1:5" x14ac:dyDescent="0.25">
      <c r="A133" s="7">
        <v>1312642</v>
      </c>
      <c r="B133" s="7">
        <v>74443</v>
      </c>
      <c r="C133" s="7">
        <v>8848</v>
      </c>
      <c r="D133" s="7">
        <v>1114</v>
      </c>
      <c r="E133" s="7">
        <v>1.5</v>
      </c>
    </row>
    <row r="134" spans="1:5" x14ac:dyDescent="0.25">
      <c r="A134" s="7">
        <v>405755</v>
      </c>
      <c r="B134" s="7">
        <v>74111</v>
      </c>
      <c r="C134" s="7">
        <v>11155</v>
      </c>
      <c r="D134" s="7">
        <v>2238</v>
      </c>
      <c r="E134" s="7">
        <v>3.02</v>
      </c>
    </row>
    <row r="135" spans="1:5" x14ac:dyDescent="0.25">
      <c r="A135" s="7">
        <v>2419959</v>
      </c>
      <c r="B135" s="7">
        <v>73115</v>
      </c>
      <c r="C135" s="7">
        <v>4142</v>
      </c>
      <c r="D135" s="7">
        <v>496</v>
      </c>
      <c r="E135" s="7">
        <v>0.68</v>
      </c>
    </row>
    <row r="136" spans="1:5" x14ac:dyDescent="0.25">
      <c r="A136" s="7">
        <v>2158079</v>
      </c>
      <c r="B136" s="7">
        <v>72740</v>
      </c>
      <c r="C136" s="7">
        <v>10720</v>
      </c>
      <c r="D136" s="7">
        <v>2261</v>
      </c>
      <c r="E136" s="7">
        <v>3.11</v>
      </c>
    </row>
    <row r="137" spans="1:5" x14ac:dyDescent="0.25">
      <c r="A137" s="7">
        <v>3138705</v>
      </c>
      <c r="B137" s="7">
        <v>72649</v>
      </c>
      <c r="C137" s="7">
        <v>9375</v>
      </c>
      <c r="D137" s="7">
        <v>1678</v>
      </c>
      <c r="E137" s="7">
        <v>2.31</v>
      </c>
    </row>
    <row r="138" spans="1:5" x14ac:dyDescent="0.25">
      <c r="A138" s="7">
        <v>4148053</v>
      </c>
      <c r="B138" s="7">
        <v>71186</v>
      </c>
      <c r="C138" s="7">
        <v>7375</v>
      </c>
      <c r="D138" s="7">
        <v>2477</v>
      </c>
      <c r="E138" s="7">
        <v>3.48</v>
      </c>
    </row>
    <row r="139" spans="1:5" x14ac:dyDescent="0.25">
      <c r="A139" s="7">
        <v>3160926</v>
      </c>
      <c r="B139" s="7">
        <v>70535</v>
      </c>
      <c r="C139" s="7">
        <v>8453</v>
      </c>
      <c r="D139" s="7">
        <v>1192</v>
      </c>
      <c r="E139" s="7">
        <v>1.69</v>
      </c>
    </row>
    <row r="140" spans="1:5" x14ac:dyDescent="0.25">
      <c r="A140" s="7">
        <v>3844144</v>
      </c>
      <c r="B140" s="7">
        <v>69920</v>
      </c>
      <c r="C140" s="7">
        <v>10045</v>
      </c>
      <c r="D140" s="7">
        <v>1536</v>
      </c>
      <c r="E140" s="7">
        <v>2.2000000000000002</v>
      </c>
    </row>
    <row r="141" spans="1:5" x14ac:dyDescent="0.25">
      <c r="A141" s="7">
        <v>3579754</v>
      </c>
      <c r="B141" s="7">
        <v>69408</v>
      </c>
      <c r="C141" s="7">
        <v>9356</v>
      </c>
      <c r="D141" s="7">
        <v>1577</v>
      </c>
      <c r="E141" s="7">
        <v>2.27</v>
      </c>
    </row>
    <row r="142" spans="1:5" x14ac:dyDescent="0.25">
      <c r="A142" s="7">
        <v>3231625</v>
      </c>
      <c r="B142" s="7">
        <v>69309</v>
      </c>
      <c r="C142" s="7">
        <v>9375</v>
      </c>
      <c r="D142" s="7">
        <v>6239</v>
      </c>
      <c r="E142" s="7">
        <v>9</v>
      </c>
    </row>
    <row r="143" spans="1:5" x14ac:dyDescent="0.25">
      <c r="A143" s="7">
        <v>3747017</v>
      </c>
      <c r="B143" s="7">
        <v>68348</v>
      </c>
      <c r="C143" s="7">
        <v>9968</v>
      </c>
      <c r="D143" s="7">
        <v>5788</v>
      </c>
      <c r="E143" s="7">
        <v>8.4700000000000006</v>
      </c>
    </row>
    <row r="144" spans="1:5" x14ac:dyDescent="0.25">
      <c r="A144" s="7">
        <v>4476428</v>
      </c>
      <c r="B144" s="7">
        <v>68338</v>
      </c>
      <c r="C144" s="7">
        <v>6947</v>
      </c>
      <c r="D144" s="7">
        <v>395</v>
      </c>
      <c r="E144" s="7">
        <v>0.57999999999999996</v>
      </c>
    </row>
    <row r="145" spans="1:5" x14ac:dyDescent="0.25">
      <c r="A145" s="7">
        <v>1646753</v>
      </c>
      <c r="B145" s="7">
        <v>68100</v>
      </c>
      <c r="C145" s="7">
        <v>8864</v>
      </c>
      <c r="D145" s="7">
        <v>1830</v>
      </c>
      <c r="E145" s="7">
        <v>2.69</v>
      </c>
    </row>
    <row r="146" spans="1:5" x14ac:dyDescent="0.25">
      <c r="A146" s="7">
        <v>3898483</v>
      </c>
      <c r="B146" s="7">
        <v>67723</v>
      </c>
      <c r="C146" s="7">
        <v>9329</v>
      </c>
      <c r="D146" s="7">
        <v>2442</v>
      </c>
      <c r="E146" s="7">
        <v>3.61</v>
      </c>
    </row>
    <row r="147" spans="1:5" x14ac:dyDescent="0.25">
      <c r="A147" s="7">
        <v>50601</v>
      </c>
      <c r="B147" s="7">
        <v>67114</v>
      </c>
      <c r="C147" s="7">
        <v>9300</v>
      </c>
      <c r="D147" s="7">
        <v>3104</v>
      </c>
      <c r="E147" s="7">
        <v>4.62</v>
      </c>
    </row>
    <row r="148" spans="1:5" x14ac:dyDescent="0.25">
      <c r="A148" s="7">
        <v>2858794</v>
      </c>
      <c r="B148" s="7">
        <v>66130</v>
      </c>
      <c r="C148" s="7">
        <v>9427</v>
      </c>
      <c r="D148" s="7">
        <v>2394</v>
      </c>
      <c r="E148" s="7">
        <v>3.62</v>
      </c>
    </row>
    <row r="149" spans="1:5" x14ac:dyDescent="0.25">
      <c r="A149" s="7">
        <v>4242717</v>
      </c>
      <c r="B149" s="7">
        <v>65436</v>
      </c>
      <c r="C149" s="7">
        <v>8029</v>
      </c>
      <c r="D149" s="7">
        <v>2754</v>
      </c>
      <c r="E149" s="7">
        <v>4.21</v>
      </c>
    </row>
    <row r="150" spans="1:5" x14ac:dyDescent="0.25">
      <c r="A150" s="7">
        <v>1817004</v>
      </c>
      <c r="B150" s="7">
        <v>65251</v>
      </c>
      <c r="C150" s="7">
        <v>9230</v>
      </c>
      <c r="D150" s="7">
        <v>2286</v>
      </c>
      <c r="E150" s="7">
        <v>3.5</v>
      </c>
    </row>
    <row r="151" spans="1:5" x14ac:dyDescent="0.25">
      <c r="A151" s="7">
        <v>1207887</v>
      </c>
      <c r="B151" s="7">
        <v>63824</v>
      </c>
      <c r="C151" s="7">
        <v>3645</v>
      </c>
      <c r="D151" s="7">
        <v>257</v>
      </c>
      <c r="E151" s="7">
        <v>0.4</v>
      </c>
    </row>
    <row r="152" spans="1:5" x14ac:dyDescent="0.25">
      <c r="A152" s="7">
        <v>1573426</v>
      </c>
      <c r="B152" s="7">
        <v>63537</v>
      </c>
      <c r="C152" s="7">
        <v>6036</v>
      </c>
      <c r="D152" s="7">
        <v>2342</v>
      </c>
      <c r="E152" s="7">
        <v>3.69</v>
      </c>
    </row>
    <row r="153" spans="1:5" x14ac:dyDescent="0.25">
      <c r="A153" s="7">
        <v>4533189</v>
      </c>
      <c r="B153" s="7">
        <v>63425</v>
      </c>
      <c r="C153" s="7">
        <v>7134</v>
      </c>
      <c r="D153" s="7">
        <v>2190</v>
      </c>
      <c r="E153" s="7">
        <v>3.45</v>
      </c>
    </row>
    <row r="154" spans="1:5" x14ac:dyDescent="0.25">
      <c r="A154" s="7">
        <v>4919077</v>
      </c>
      <c r="B154" s="7">
        <v>62883</v>
      </c>
      <c r="C154" s="7">
        <v>10098</v>
      </c>
      <c r="D154" s="7">
        <v>3977</v>
      </c>
      <c r="E154" s="7">
        <v>6.32</v>
      </c>
    </row>
    <row r="155" spans="1:5" x14ac:dyDescent="0.25">
      <c r="A155" s="7">
        <v>84264</v>
      </c>
      <c r="B155" s="7">
        <v>61348</v>
      </c>
      <c r="C155" s="7">
        <v>6824</v>
      </c>
      <c r="D155" s="7">
        <v>1072</v>
      </c>
      <c r="E155" s="7">
        <v>1.75</v>
      </c>
    </row>
    <row r="156" spans="1:5" x14ac:dyDescent="0.25">
      <c r="A156" s="7">
        <v>4874384</v>
      </c>
      <c r="B156" s="7">
        <v>61223</v>
      </c>
      <c r="C156" s="7">
        <v>9182</v>
      </c>
      <c r="D156" s="7">
        <v>2295</v>
      </c>
      <c r="E156" s="7">
        <v>3.75</v>
      </c>
    </row>
    <row r="157" spans="1:5" x14ac:dyDescent="0.25">
      <c r="A157" s="7">
        <v>772629</v>
      </c>
      <c r="B157" s="7">
        <v>61148</v>
      </c>
      <c r="C157" s="7">
        <v>6239</v>
      </c>
      <c r="D157" s="7">
        <v>1178</v>
      </c>
      <c r="E157" s="7">
        <v>1.93</v>
      </c>
    </row>
    <row r="158" spans="1:5" x14ac:dyDescent="0.25">
      <c r="A158" s="7">
        <v>3208959</v>
      </c>
      <c r="B158" s="7">
        <v>60832</v>
      </c>
      <c r="C158" s="7">
        <v>5862</v>
      </c>
      <c r="D158" s="7">
        <v>805</v>
      </c>
      <c r="E158" s="7">
        <v>1.32</v>
      </c>
    </row>
    <row r="159" spans="1:5" x14ac:dyDescent="0.25">
      <c r="A159" s="7">
        <v>4602841</v>
      </c>
      <c r="B159" s="7">
        <v>60289</v>
      </c>
      <c r="C159" s="7">
        <v>6625</v>
      </c>
      <c r="D159" s="7">
        <v>1734</v>
      </c>
      <c r="E159" s="7">
        <v>2.88</v>
      </c>
    </row>
    <row r="160" spans="1:5" x14ac:dyDescent="0.25">
      <c r="A160" s="7">
        <v>1320530</v>
      </c>
      <c r="B160" s="7">
        <v>59958</v>
      </c>
      <c r="C160" s="7">
        <v>5849</v>
      </c>
      <c r="D160" s="7">
        <v>424</v>
      </c>
      <c r="E160" s="7">
        <v>0.71</v>
      </c>
    </row>
    <row r="161" spans="1:5" x14ac:dyDescent="0.25">
      <c r="A161" s="7">
        <v>3015852</v>
      </c>
      <c r="B161" s="7">
        <v>59750</v>
      </c>
      <c r="C161" s="7">
        <v>8310</v>
      </c>
      <c r="D161" s="7">
        <v>2654</v>
      </c>
      <c r="E161" s="7">
        <v>4.4400000000000004</v>
      </c>
    </row>
    <row r="162" spans="1:5" x14ac:dyDescent="0.25">
      <c r="A162" s="7">
        <v>4640311</v>
      </c>
      <c r="B162" s="7">
        <v>59717</v>
      </c>
      <c r="C162" s="7">
        <v>9925</v>
      </c>
      <c r="D162" s="7">
        <v>2183</v>
      </c>
      <c r="E162" s="7">
        <v>3.66</v>
      </c>
    </row>
    <row r="163" spans="1:5" x14ac:dyDescent="0.25">
      <c r="A163" s="7">
        <v>3673501</v>
      </c>
      <c r="B163" s="7">
        <v>58771</v>
      </c>
      <c r="C163" s="7">
        <v>7492</v>
      </c>
      <c r="D163" s="7">
        <v>1823</v>
      </c>
      <c r="E163" s="7">
        <v>3.1</v>
      </c>
    </row>
    <row r="164" spans="1:5" x14ac:dyDescent="0.25">
      <c r="A164" s="7">
        <v>4580532</v>
      </c>
      <c r="B164" s="7">
        <v>58590</v>
      </c>
      <c r="C164" s="7">
        <v>4186</v>
      </c>
      <c r="D164" s="7">
        <v>930</v>
      </c>
      <c r="E164" s="7">
        <v>1.59</v>
      </c>
    </row>
    <row r="165" spans="1:5" x14ac:dyDescent="0.25">
      <c r="A165" s="7">
        <v>4576874</v>
      </c>
      <c r="B165" s="7">
        <v>58432</v>
      </c>
      <c r="C165" s="7">
        <v>8135</v>
      </c>
      <c r="D165" s="7">
        <v>1887</v>
      </c>
      <c r="E165" s="7">
        <v>3.23</v>
      </c>
    </row>
    <row r="166" spans="1:5" x14ac:dyDescent="0.25">
      <c r="A166" s="7">
        <v>1045172</v>
      </c>
      <c r="B166" s="7">
        <v>58429</v>
      </c>
      <c r="C166" s="7">
        <v>8004</v>
      </c>
      <c r="D166" s="7">
        <v>3536</v>
      </c>
      <c r="E166" s="7">
        <v>6.05</v>
      </c>
    </row>
    <row r="167" spans="1:5" x14ac:dyDescent="0.25">
      <c r="A167" s="7">
        <v>2877672</v>
      </c>
      <c r="B167" s="7">
        <v>57303</v>
      </c>
      <c r="C167" s="7">
        <v>7811</v>
      </c>
      <c r="D167" s="7">
        <v>1542</v>
      </c>
      <c r="E167" s="7">
        <v>2.69</v>
      </c>
    </row>
    <row r="168" spans="1:5" x14ac:dyDescent="0.25">
      <c r="A168" s="7">
        <v>3616520</v>
      </c>
      <c r="B168" s="7">
        <v>55833</v>
      </c>
      <c r="C168" s="7">
        <v>8791</v>
      </c>
      <c r="D168" s="7">
        <v>2550</v>
      </c>
      <c r="E168" s="7">
        <v>4.57</v>
      </c>
    </row>
    <row r="169" spans="1:5" x14ac:dyDescent="0.25">
      <c r="A169" s="7">
        <v>2827444</v>
      </c>
      <c r="B169" s="7">
        <v>55791</v>
      </c>
      <c r="C169" s="7">
        <v>8108</v>
      </c>
      <c r="D169" s="7">
        <v>1758</v>
      </c>
      <c r="E169" s="7">
        <v>3.15</v>
      </c>
    </row>
    <row r="170" spans="1:5" x14ac:dyDescent="0.25">
      <c r="A170" s="7">
        <v>800581</v>
      </c>
      <c r="B170" s="7">
        <v>55729</v>
      </c>
      <c r="C170" s="7">
        <v>10836</v>
      </c>
      <c r="D170" s="7">
        <v>6831</v>
      </c>
      <c r="E170" s="7">
        <v>12.26</v>
      </c>
    </row>
    <row r="171" spans="1:5" x14ac:dyDescent="0.25">
      <c r="A171" s="7">
        <v>1068933</v>
      </c>
      <c r="B171" s="7">
        <v>55360</v>
      </c>
      <c r="C171" s="7">
        <v>6963</v>
      </c>
      <c r="D171" s="7">
        <v>1590</v>
      </c>
      <c r="E171" s="7">
        <v>2.87</v>
      </c>
    </row>
    <row r="172" spans="1:5" x14ac:dyDescent="0.25">
      <c r="A172" s="7">
        <v>3855599</v>
      </c>
      <c r="B172" s="7">
        <v>55021</v>
      </c>
      <c r="C172" s="7">
        <v>6405</v>
      </c>
      <c r="D172" s="7">
        <v>484</v>
      </c>
      <c r="E172" s="7">
        <v>0.88</v>
      </c>
    </row>
    <row r="173" spans="1:5" x14ac:dyDescent="0.25">
      <c r="A173" s="7">
        <v>1488813</v>
      </c>
      <c r="B173" s="7">
        <v>54559</v>
      </c>
      <c r="C173" s="7">
        <v>5836</v>
      </c>
      <c r="D173" s="7">
        <v>564</v>
      </c>
      <c r="E173" s="7">
        <v>1.03</v>
      </c>
    </row>
    <row r="174" spans="1:5" x14ac:dyDescent="0.25">
      <c r="A174" s="7">
        <v>2072473</v>
      </c>
      <c r="B174" s="7">
        <v>54177</v>
      </c>
      <c r="C174" s="7">
        <v>7223</v>
      </c>
      <c r="D174" s="7">
        <v>2323</v>
      </c>
      <c r="E174" s="7">
        <v>4.29</v>
      </c>
    </row>
    <row r="175" spans="1:5" x14ac:dyDescent="0.25">
      <c r="A175" s="7">
        <v>72526</v>
      </c>
      <c r="B175" s="7">
        <v>53944</v>
      </c>
      <c r="C175" s="7">
        <v>7234</v>
      </c>
      <c r="D175" s="7">
        <v>1561</v>
      </c>
      <c r="E175" s="7">
        <v>2.89</v>
      </c>
    </row>
    <row r="176" spans="1:5" x14ac:dyDescent="0.25">
      <c r="A176" s="7">
        <v>3108044</v>
      </c>
      <c r="B176" s="7">
        <v>53840</v>
      </c>
      <c r="C176" s="7">
        <v>7234</v>
      </c>
      <c r="D176" s="7">
        <v>2406</v>
      </c>
      <c r="E176" s="7">
        <v>4.47</v>
      </c>
    </row>
    <row r="177" spans="1:5" x14ac:dyDescent="0.25">
      <c r="A177" s="7">
        <v>3673049</v>
      </c>
      <c r="B177" s="7">
        <v>53623</v>
      </c>
      <c r="C177" s="7">
        <v>5716</v>
      </c>
      <c r="D177" s="7">
        <v>949</v>
      </c>
      <c r="E177" s="7">
        <v>1.77</v>
      </c>
    </row>
    <row r="178" spans="1:5" x14ac:dyDescent="0.25">
      <c r="A178" s="7">
        <v>3340725</v>
      </c>
      <c r="B178" s="7">
        <v>53453</v>
      </c>
      <c r="C178" s="7">
        <v>4518</v>
      </c>
      <c r="D178" s="7">
        <v>341</v>
      </c>
      <c r="E178" s="7">
        <v>0.64</v>
      </c>
    </row>
    <row r="179" spans="1:5" x14ac:dyDescent="0.25">
      <c r="A179" s="7">
        <v>2304296</v>
      </c>
      <c r="B179" s="7">
        <v>52902</v>
      </c>
      <c r="C179" s="7">
        <v>7197</v>
      </c>
      <c r="D179" s="7">
        <v>2088</v>
      </c>
      <c r="E179" s="7">
        <v>3.95</v>
      </c>
    </row>
    <row r="180" spans="1:5" x14ac:dyDescent="0.25">
      <c r="A180" s="7">
        <v>3800818</v>
      </c>
      <c r="B180" s="7">
        <v>52859</v>
      </c>
      <c r="C180" s="7">
        <v>5385</v>
      </c>
      <c r="D180" s="7">
        <v>1008</v>
      </c>
      <c r="E180" s="7">
        <v>1.91</v>
      </c>
    </row>
    <row r="181" spans="1:5" x14ac:dyDescent="0.25">
      <c r="A181" s="7">
        <v>4708262</v>
      </c>
      <c r="B181" s="7">
        <v>52746</v>
      </c>
      <c r="C181" s="7">
        <v>5821</v>
      </c>
      <c r="D181" s="7">
        <v>913</v>
      </c>
      <c r="E181" s="7">
        <v>1.73</v>
      </c>
    </row>
    <row r="182" spans="1:5" x14ac:dyDescent="0.25">
      <c r="A182" s="7">
        <v>1973012</v>
      </c>
      <c r="B182" s="7">
        <v>51673</v>
      </c>
      <c r="C182" s="7">
        <v>8731</v>
      </c>
      <c r="D182" s="7">
        <v>5563</v>
      </c>
      <c r="E182" s="7">
        <v>10.77</v>
      </c>
    </row>
    <row r="183" spans="1:5" x14ac:dyDescent="0.25">
      <c r="A183" s="7">
        <v>4048584</v>
      </c>
      <c r="B183" s="7">
        <v>51187</v>
      </c>
      <c r="C183" s="7">
        <v>7217</v>
      </c>
      <c r="D183" s="7">
        <v>1841</v>
      </c>
      <c r="E183" s="7">
        <v>3.6</v>
      </c>
    </row>
    <row r="184" spans="1:5" x14ac:dyDescent="0.25">
      <c r="A184" s="7">
        <v>2529187</v>
      </c>
      <c r="B184" s="7">
        <v>50176</v>
      </c>
      <c r="C184" s="7">
        <v>7858</v>
      </c>
      <c r="D184" s="7">
        <v>2843</v>
      </c>
      <c r="E184" s="7">
        <v>5.67</v>
      </c>
    </row>
    <row r="185" spans="1:5" x14ac:dyDescent="0.25">
      <c r="A185" s="7">
        <v>1595193</v>
      </c>
      <c r="B185" s="7">
        <v>49979</v>
      </c>
      <c r="C185" s="7">
        <v>6908</v>
      </c>
      <c r="D185" s="7">
        <v>3819</v>
      </c>
      <c r="E185" s="7">
        <v>7.64</v>
      </c>
    </row>
    <row r="186" spans="1:5" x14ac:dyDescent="0.25">
      <c r="A186" s="7">
        <v>4050612</v>
      </c>
      <c r="B186" s="7">
        <v>49837</v>
      </c>
      <c r="C186" s="7">
        <v>6296</v>
      </c>
      <c r="D186" s="7">
        <v>1307</v>
      </c>
      <c r="E186" s="7">
        <v>2.62</v>
      </c>
    </row>
    <row r="187" spans="1:5" x14ac:dyDescent="0.25">
      <c r="A187" s="7">
        <v>2495340</v>
      </c>
      <c r="B187" s="7">
        <v>49578</v>
      </c>
      <c r="C187" s="7">
        <v>6339</v>
      </c>
      <c r="D187" s="7">
        <v>3468</v>
      </c>
      <c r="E187" s="7">
        <v>7</v>
      </c>
    </row>
    <row r="188" spans="1:5" x14ac:dyDescent="0.25">
      <c r="A188" s="7">
        <v>1807416</v>
      </c>
      <c r="B188" s="7">
        <v>49060</v>
      </c>
      <c r="C188" s="7">
        <v>4737</v>
      </c>
      <c r="D188" s="7">
        <v>1016</v>
      </c>
      <c r="E188" s="7">
        <v>2.0699999999999998</v>
      </c>
    </row>
    <row r="189" spans="1:5" x14ac:dyDescent="0.25">
      <c r="A189" s="7">
        <v>4391936</v>
      </c>
      <c r="B189" s="7">
        <v>48686</v>
      </c>
      <c r="C189" s="7">
        <v>6960</v>
      </c>
      <c r="D189" s="7">
        <v>2078</v>
      </c>
      <c r="E189" s="7">
        <v>4.2699999999999996</v>
      </c>
    </row>
    <row r="190" spans="1:5" x14ac:dyDescent="0.25">
      <c r="A190" s="7">
        <v>1729993</v>
      </c>
      <c r="B190" s="7">
        <v>48423</v>
      </c>
      <c r="C190" s="7">
        <v>4710</v>
      </c>
      <c r="D190" s="7">
        <v>1231</v>
      </c>
      <c r="E190" s="7">
        <v>2.54</v>
      </c>
    </row>
    <row r="191" spans="1:5" x14ac:dyDescent="0.25">
      <c r="A191" s="7">
        <v>4458428</v>
      </c>
      <c r="B191" s="7">
        <v>48206</v>
      </c>
      <c r="C191" s="7">
        <v>7577</v>
      </c>
      <c r="D191" s="7">
        <v>1322</v>
      </c>
      <c r="E191" s="7">
        <v>2.74</v>
      </c>
    </row>
    <row r="192" spans="1:5" x14ac:dyDescent="0.25">
      <c r="A192" s="7">
        <v>2476560</v>
      </c>
      <c r="B192" s="7">
        <v>47458</v>
      </c>
      <c r="C192" s="7">
        <v>7766</v>
      </c>
      <c r="D192" s="7">
        <v>3198</v>
      </c>
      <c r="E192" s="7">
        <v>6.74</v>
      </c>
    </row>
    <row r="193" spans="1:5" x14ac:dyDescent="0.25">
      <c r="A193" s="7">
        <v>339305</v>
      </c>
      <c r="B193" s="7">
        <v>47443</v>
      </c>
      <c r="C193" s="7">
        <v>5849</v>
      </c>
      <c r="D193" s="7">
        <v>1728</v>
      </c>
      <c r="E193" s="7">
        <v>3.64</v>
      </c>
    </row>
    <row r="194" spans="1:5" x14ac:dyDescent="0.25">
      <c r="A194" s="7">
        <v>366112</v>
      </c>
      <c r="B194" s="7">
        <v>47064</v>
      </c>
      <c r="C194" s="7">
        <v>7108</v>
      </c>
      <c r="D194" s="7">
        <v>3787</v>
      </c>
      <c r="E194" s="7">
        <v>8.0500000000000007</v>
      </c>
    </row>
    <row r="195" spans="1:5" x14ac:dyDescent="0.25">
      <c r="A195" s="7">
        <v>338646</v>
      </c>
      <c r="B195" s="7">
        <v>47007</v>
      </c>
      <c r="C195" s="7">
        <v>5315</v>
      </c>
      <c r="D195" s="7">
        <v>1284</v>
      </c>
      <c r="E195" s="7">
        <v>2.73</v>
      </c>
    </row>
    <row r="196" spans="1:5" x14ac:dyDescent="0.25">
      <c r="A196" s="7">
        <v>3112817</v>
      </c>
      <c r="B196" s="7">
        <v>46900</v>
      </c>
      <c r="C196" s="7">
        <v>7277</v>
      </c>
      <c r="D196" s="7">
        <v>995</v>
      </c>
      <c r="E196" s="7">
        <v>2.12</v>
      </c>
    </row>
    <row r="197" spans="1:5" x14ac:dyDescent="0.25">
      <c r="A197" s="7">
        <v>2778281</v>
      </c>
      <c r="B197" s="7">
        <v>46887</v>
      </c>
      <c r="C197" s="7">
        <v>4847</v>
      </c>
      <c r="D197" s="7">
        <v>2482</v>
      </c>
      <c r="E197" s="7">
        <v>5.29</v>
      </c>
    </row>
    <row r="198" spans="1:5" x14ac:dyDescent="0.25">
      <c r="A198" s="7">
        <v>174239</v>
      </c>
      <c r="B198" s="7">
        <v>46571</v>
      </c>
      <c r="C198" s="7">
        <v>8563</v>
      </c>
      <c r="D198" s="7">
        <v>4402</v>
      </c>
      <c r="E198" s="7">
        <v>9.4499999999999993</v>
      </c>
    </row>
    <row r="199" spans="1:5" x14ac:dyDescent="0.25">
      <c r="A199" s="7">
        <v>2297500</v>
      </c>
      <c r="B199" s="7">
        <v>45249</v>
      </c>
      <c r="C199" s="7">
        <v>5552</v>
      </c>
      <c r="D199" s="7">
        <v>3370</v>
      </c>
      <c r="E199" s="7">
        <v>7.45</v>
      </c>
    </row>
    <row r="200" spans="1:5" x14ac:dyDescent="0.25">
      <c r="A200" s="7">
        <v>2033408</v>
      </c>
      <c r="B200" s="7">
        <v>45202</v>
      </c>
      <c r="C200" s="7">
        <v>6572</v>
      </c>
      <c r="D200" s="7">
        <v>3253</v>
      </c>
      <c r="E200" s="7">
        <v>7.2</v>
      </c>
    </row>
    <row r="201" spans="1:5" x14ac:dyDescent="0.25">
      <c r="A201" s="7">
        <v>2590256</v>
      </c>
      <c r="B201" s="7">
        <v>45189</v>
      </c>
      <c r="C201" s="7">
        <v>8190</v>
      </c>
      <c r="D201" s="7">
        <v>2088</v>
      </c>
      <c r="E201" s="7">
        <v>4.62</v>
      </c>
    </row>
  </sheetData>
  <phoneticPr fontId="1" type="noConversion"/>
  <conditionalFormatting sqref="B1:B1048576">
    <cfRule type="top10" dxfId="5" priority="1" rank="10"/>
  </conditionalFormatting>
  <pageMargins left="0.7" right="0.7" top="0.75" bottom="0.75" header="0.3" footer="0.3"/>
  <ignoredErrors>
    <ignoredError sqref="H6:I6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05DF-AC79-49E3-AC5F-734A27E50120}">
  <dimension ref="A1:R25"/>
  <sheetViews>
    <sheetView showGridLines="0" tabSelected="1" workbookViewId="0">
      <selection activeCell="F25" sqref="F25"/>
    </sheetView>
  </sheetViews>
  <sheetFormatPr defaultRowHeight="13.8" x14ac:dyDescent="0.25"/>
  <sheetData>
    <row r="1" spans="1:4" x14ac:dyDescent="0.25">
      <c r="A1" s="8" t="s">
        <v>12</v>
      </c>
      <c r="B1" s="8" t="s">
        <v>13</v>
      </c>
      <c r="C1" s="8" t="s">
        <v>14</v>
      </c>
      <c r="D1" s="8" t="s">
        <v>15</v>
      </c>
    </row>
    <row r="2" spans="1:4" x14ac:dyDescent="0.25">
      <c r="A2" s="7">
        <v>0</v>
      </c>
      <c r="B2" s="7">
        <v>3056936</v>
      </c>
      <c r="C2" s="7">
        <v>57776</v>
      </c>
      <c r="D2" s="7">
        <v>1.89</v>
      </c>
    </row>
    <row r="3" spans="1:4" x14ac:dyDescent="0.25">
      <c r="A3" s="7">
        <v>1</v>
      </c>
      <c r="B3" s="7">
        <v>1421673</v>
      </c>
      <c r="C3" s="7">
        <v>23169</v>
      </c>
      <c r="D3" s="7">
        <v>1.63</v>
      </c>
    </row>
    <row r="4" spans="1:4" x14ac:dyDescent="0.25">
      <c r="A4" s="7">
        <v>2</v>
      </c>
      <c r="B4" s="7">
        <v>769269</v>
      </c>
      <c r="C4" s="7">
        <v>12012</v>
      </c>
      <c r="D4" s="7">
        <v>1.56</v>
      </c>
    </row>
    <row r="5" spans="1:4" x14ac:dyDescent="0.25">
      <c r="A5" s="7">
        <v>3</v>
      </c>
      <c r="B5" s="7">
        <v>524992</v>
      </c>
      <c r="C5" s="7">
        <v>8026</v>
      </c>
      <c r="D5" s="7">
        <v>1.53</v>
      </c>
    </row>
    <row r="6" spans="1:4" x14ac:dyDescent="0.25">
      <c r="A6" s="7">
        <v>4</v>
      </c>
      <c r="B6" s="7">
        <v>449628</v>
      </c>
      <c r="C6" s="7">
        <v>6748</v>
      </c>
      <c r="D6" s="7">
        <v>1.5</v>
      </c>
    </row>
    <row r="7" spans="1:4" x14ac:dyDescent="0.25">
      <c r="A7" s="7">
        <v>5</v>
      </c>
      <c r="B7" s="7">
        <v>581694</v>
      </c>
      <c r="C7" s="7">
        <v>8135</v>
      </c>
      <c r="D7" s="7">
        <v>1.4</v>
      </c>
    </row>
    <row r="8" spans="1:4" x14ac:dyDescent="0.25">
      <c r="A8" s="7">
        <v>6</v>
      </c>
      <c r="B8" s="7">
        <v>1226653</v>
      </c>
      <c r="C8" s="7">
        <v>18014</v>
      </c>
      <c r="D8" s="7">
        <v>1.47</v>
      </c>
    </row>
    <row r="9" spans="1:4" x14ac:dyDescent="0.25">
      <c r="A9" s="7">
        <v>7</v>
      </c>
      <c r="B9" s="7">
        <v>2228959</v>
      </c>
      <c r="C9" s="7">
        <v>37679</v>
      </c>
      <c r="D9" s="7">
        <v>1.69</v>
      </c>
    </row>
    <row r="10" spans="1:4" x14ac:dyDescent="0.25">
      <c r="A10" s="7">
        <v>8</v>
      </c>
      <c r="B10" s="7">
        <v>3042342</v>
      </c>
      <c r="C10" s="7">
        <v>64917</v>
      </c>
      <c r="D10" s="7">
        <v>2.13</v>
      </c>
    </row>
    <row r="11" spans="1:4" x14ac:dyDescent="0.25">
      <c r="A11" s="7">
        <v>9</v>
      </c>
      <c r="B11" s="7">
        <v>3728498</v>
      </c>
      <c r="C11" s="7">
        <v>96134</v>
      </c>
      <c r="D11" s="7">
        <v>2.58</v>
      </c>
    </row>
    <row r="12" spans="1:4" x14ac:dyDescent="0.25">
      <c r="A12" s="7">
        <v>10</v>
      </c>
      <c r="B12" s="7">
        <v>4334810</v>
      </c>
      <c r="C12" s="7">
        <v>127933</v>
      </c>
      <c r="D12" s="7">
        <v>2.95</v>
      </c>
    </row>
    <row r="13" spans="1:4" x14ac:dyDescent="0.25">
      <c r="A13" s="7">
        <v>11</v>
      </c>
      <c r="B13" s="7">
        <v>4213518</v>
      </c>
      <c r="C13" s="7">
        <v>122048</v>
      </c>
      <c r="D13" s="7">
        <v>2.9</v>
      </c>
    </row>
    <row r="14" spans="1:4" x14ac:dyDescent="0.25">
      <c r="A14" s="7">
        <v>12</v>
      </c>
      <c r="B14" s="7">
        <v>4255794</v>
      </c>
      <c r="C14" s="7">
        <v>118591</v>
      </c>
      <c r="D14" s="7">
        <v>2.79</v>
      </c>
    </row>
    <row r="15" spans="1:4" x14ac:dyDescent="0.25">
      <c r="A15" s="7">
        <v>13</v>
      </c>
      <c r="B15" s="7">
        <v>4653934</v>
      </c>
      <c r="C15" s="7">
        <v>123427</v>
      </c>
      <c r="D15" s="7">
        <v>2.65</v>
      </c>
    </row>
    <row r="16" spans="1:4" x14ac:dyDescent="0.25">
      <c r="A16" s="7">
        <v>14</v>
      </c>
      <c r="B16" s="7">
        <v>4642056</v>
      </c>
      <c r="C16" s="7">
        <v>122172</v>
      </c>
      <c r="D16" s="7">
        <v>2.63</v>
      </c>
    </row>
    <row r="17" spans="1:18" x14ac:dyDescent="0.25">
      <c r="A17" s="7">
        <v>15</v>
      </c>
      <c r="B17" s="7">
        <v>4806706</v>
      </c>
      <c r="C17" s="7">
        <v>122733</v>
      </c>
      <c r="D17" s="7">
        <v>2.5499999999999998</v>
      </c>
    </row>
    <row r="18" spans="1:18" x14ac:dyDescent="0.25">
      <c r="A18" s="7">
        <v>16</v>
      </c>
      <c r="B18" s="7">
        <v>4607745</v>
      </c>
      <c r="C18" s="7">
        <v>116446</v>
      </c>
      <c r="D18" s="7">
        <v>2.5299999999999998</v>
      </c>
    </row>
    <row r="19" spans="1:18" x14ac:dyDescent="0.25">
      <c r="A19" s="7">
        <v>17</v>
      </c>
      <c r="B19" s="7">
        <v>4203397</v>
      </c>
      <c r="C19" s="7">
        <v>101301</v>
      </c>
      <c r="D19" s="7">
        <v>2.41</v>
      </c>
    </row>
    <row r="20" spans="1:18" x14ac:dyDescent="0.25">
      <c r="A20" s="7">
        <v>18</v>
      </c>
      <c r="B20" s="7">
        <v>4313516</v>
      </c>
      <c r="C20" s="7">
        <v>95907</v>
      </c>
      <c r="D20" s="7">
        <v>2.2200000000000002</v>
      </c>
    </row>
    <row r="21" spans="1:18" x14ac:dyDescent="0.25">
      <c r="A21" s="7">
        <v>19</v>
      </c>
      <c r="B21" s="7">
        <v>5430878</v>
      </c>
      <c r="C21" s="7">
        <v>115032</v>
      </c>
      <c r="D21" s="7">
        <v>2.12</v>
      </c>
    </row>
    <row r="22" spans="1:18" x14ac:dyDescent="0.25">
      <c r="A22" s="7">
        <v>20</v>
      </c>
      <c r="B22" s="7">
        <v>6586331</v>
      </c>
      <c r="C22" s="7">
        <v>133863</v>
      </c>
      <c r="D22" s="7">
        <v>2.0299999999999998</v>
      </c>
    </row>
    <row r="23" spans="1:18" x14ac:dyDescent="0.25">
      <c r="A23" s="7">
        <v>21</v>
      </c>
      <c r="B23" s="7">
        <v>7538383</v>
      </c>
      <c r="C23" s="7">
        <v>145433</v>
      </c>
      <c r="D23" s="7">
        <v>1.93</v>
      </c>
      <c r="G23" s="6" t="s">
        <v>16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25">
      <c r="A24" s="7">
        <v>22</v>
      </c>
      <c r="B24" s="7">
        <v>7443073</v>
      </c>
      <c r="C24" s="7">
        <v>138268</v>
      </c>
      <c r="D24" s="7">
        <v>1.86</v>
      </c>
    </row>
    <row r="25" spans="1:18" x14ac:dyDescent="0.25">
      <c r="A25" s="7">
        <v>23</v>
      </c>
      <c r="B25" s="7">
        <v>5599903</v>
      </c>
      <c r="C25" s="7">
        <v>100075</v>
      </c>
      <c r="D25" s="7">
        <v>1.79</v>
      </c>
    </row>
  </sheetData>
  <phoneticPr fontId="1" type="noConversion"/>
  <conditionalFormatting sqref="B1 B26:B28">
    <cfRule type="top10" dxfId="4" priority="5" rank="5"/>
  </conditionalFormatting>
  <conditionalFormatting sqref="B2:B25">
    <cfRule type="top10" dxfId="3" priority="2" rank="3"/>
  </conditionalFormatting>
  <conditionalFormatting sqref="C1 C26:C28">
    <cfRule type="top10" dxfId="2" priority="4" rank="5"/>
  </conditionalFormatting>
  <conditionalFormatting sqref="D1 D26:D28">
    <cfRule type="top10" dxfId="1" priority="3" rank="5"/>
  </conditionalFormatting>
  <conditionalFormatting sqref="D2:D25">
    <cfRule type="top10" dxfId="0" priority="1" rank="3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D249-6957-46DF-8B9B-1BAAAC1EAF1A}">
  <dimension ref="A1:L22"/>
  <sheetViews>
    <sheetView showGridLines="0" workbookViewId="0">
      <selection activeCell="P19" sqref="P19"/>
    </sheetView>
  </sheetViews>
  <sheetFormatPr defaultRowHeight="13.8" x14ac:dyDescent="0.25"/>
  <cols>
    <col min="1" max="1" width="16.5546875" customWidth="1"/>
  </cols>
  <sheetData>
    <row r="1" spans="1:3" x14ac:dyDescent="0.25">
      <c r="A1" s="8" t="s">
        <v>17</v>
      </c>
      <c r="B1" s="8" t="s">
        <v>18</v>
      </c>
      <c r="C1" s="8" t="s">
        <v>19</v>
      </c>
    </row>
    <row r="2" spans="1:3" x14ac:dyDescent="0.25">
      <c r="A2" s="7" t="s">
        <v>20</v>
      </c>
      <c r="B2" s="7">
        <v>1464955</v>
      </c>
      <c r="C2" s="9">
        <f>B2/B$6</f>
        <v>0.76060979415137997</v>
      </c>
    </row>
    <row r="3" spans="1:3" x14ac:dyDescent="0.25">
      <c r="A3" s="7" t="s">
        <v>21</v>
      </c>
      <c r="B3" s="7">
        <v>331818</v>
      </c>
      <c r="C3" s="9">
        <f t="shared" ref="C3:C5" si="0">B3/B$6</f>
        <v>0.17228107394133105</v>
      </c>
    </row>
    <row r="4" spans="1:3" x14ac:dyDescent="0.25">
      <c r="A4" s="7" t="s">
        <v>22</v>
      </c>
      <c r="B4" s="7">
        <v>113893</v>
      </c>
      <c r="C4" s="9">
        <f t="shared" si="0"/>
        <v>5.9133646620737924E-2</v>
      </c>
    </row>
    <row r="5" spans="1:3" x14ac:dyDescent="0.25">
      <c r="A5" s="7" t="s">
        <v>23</v>
      </c>
      <c r="B5" s="7">
        <v>15361</v>
      </c>
      <c r="C5" s="9">
        <f t="shared" si="0"/>
        <v>7.9754852865510199E-3</v>
      </c>
    </row>
    <row r="6" spans="1:3" x14ac:dyDescent="0.25">
      <c r="A6" s="7"/>
      <c r="B6" s="7">
        <f>SUM(B2:B5)</f>
        <v>1926027</v>
      </c>
      <c r="C6" s="7"/>
    </row>
    <row r="21" spans="1:12" x14ac:dyDescent="0.25">
      <c r="A21" s="4" t="s">
        <v>24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 t="s">
        <v>25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漏斗分析</vt:lpstr>
      <vt:lpstr>品类可视化</vt:lpstr>
      <vt:lpstr>时段可视化</vt:lpstr>
      <vt:lpstr>决策路径可视化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张鑫宇</dc:creator>
  <cp:lastModifiedBy>鑫宇 张</cp:lastModifiedBy>
  <dcterms:created xsi:type="dcterms:W3CDTF">2015-06-05T18:19:34Z</dcterms:created>
  <dcterms:modified xsi:type="dcterms:W3CDTF">2026-09-20T07:18:30Z</dcterms:modified>
</cp:coreProperties>
</file>